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d7191374e7744f3" /></Relationships>
</file>

<file path=xl/workbook.xml><?xml version="1.0" encoding="utf-8"?>
<x:workbook xmlns:x="http://schemas.openxmlformats.org/spreadsheetml/2006/main">
  <x:sheets>
    <x:sheet xmlns:r="http://schemas.openxmlformats.org/officeDocument/2006/relationships" name="UI Text" sheetId="1" r:id="Ra9bbe109fa22401a"/>
    <x:sheet xmlns:r="http://schemas.openxmlformats.org/officeDocument/2006/relationships" name="Handbook" sheetId="2" r:id="Rc4048d537a9744bf"/>
    <x:sheet xmlns:r="http://schemas.openxmlformats.org/officeDocument/2006/relationships" name="Quiz" sheetId="3" r:id="Rbbbb5d7c931c4516"/>
    <x:sheet xmlns:r="http://schemas.openxmlformats.org/officeDocument/2006/relationships" name="Hardcoded UI" sheetId="4" r:id="R5679943aa8df4fe5"/>
    <x:sheet xmlns:r="http://schemas.openxmlformats.org/officeDocument/2006/relationships" name="Overview" sheetId="5" r:id="R6925fa0de089403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8">
    <x:font>
      <x:sz val="11"/>
      <x:name val="Carlito"/>
    </x:font>
    <x:font>
      <x:b/>
      <x:sz val="16"/>
      <x:color rgb="FFFFFFFF"/>
      <x:name val="Carlito"/>
    </x:font>
    <x:font>
      <x:i/>
      <x:sz val="10"/>
      <x:color rgb="FF5E0710"/>
      <x:name val="Carlito"/>
    </x:font>
    <x:font>
      <x:b/>
      <x:sz val="11"/>
      <x:color rgb="FFFFFFFF"/>
      <x:name val="Carlito"/>
    </x:font>
    <x:font>
      <x:sz val="10"/>
      <x:color rgb="FF202124"/>
      <x:name val="Carlito"/>
    </x:font>
    <x:font>
      <x:b/>
      <x:sz val="18"/>
      <x:color rgb="FFFFFFFF"/>
      <x:name val="Carlito"/>
    </x:font>
    <x:font>
      <x:i/>
      <x:sz val="11"/>
      <x:color rgb="FF5E0710"/>
      <x:name val="Carlito"/>
    </x:font>
    <x:font>
      <x:sz val="11"/>
      <x:color rgb="FF202124"/>
      <x:name val="Carlito"/>
    </x:font>
  </x:fonts>
  <x:fills count="8">
    <x:fill>
      <x:patternFill patternType="none"/>
    </x:fill>
    <x:fill>
      <x:patternFill patternType="gray125"/>
    </x:fill>
    <x:fill>
      <x:patternFill patternType="solid">
        <x:fgColor rgb="FF810912"/>
      </x:patternFill>
    </x:fill>
    <x:fill>
      <x:patternFill patternType="solid">
        <x:fgColor rgb="FFFBEAEC"/>
      </x:patternFill>
    </x:fill>
    <x:fill>
      <x:patternFill patternType="solid">
        <x:fgColor rgb="FF5E0710"/>
      </x:patternFill>
    </x:fill>
    <x:fill>
      <x:patternFill patternType="solid">
        <x:fgColor rgb="FFFFF7D6"/>
      </x:patternFill>
    </x:fill>
    <x:fill>
      <x:patternFill patternType="solid">
        <x:fgColor rgb="FFC79A22"/>
      </x:patternFill>
    </x:fill>
    <x:fill>
      <x:patternFill patternType="solid">
        <x:fgColor rgb="FFF3F4F6"/>
      </x:patternFill>
    </x:fill>
  </x:fills>
  <x:borders count="6">
    <x:border/>
    <x:border>
      <x:left style="thin">
        <x:color rgb="FF5E0710"/>
      </x:left>
      <x:top style="thin">
        <x:color rgb="FF5E0710"/>
      </x:top>
      <x:bottom style="thin">
        <x:color rgb="FF5E0710"/>
      </x:bottom>
    </x:border>
    <x:border>
      <x:top style="thin">
        <x:color rgb="FF5E0710"/>
      </x:top>
      <x:bottom style="thin">
        <x:color rgb="FF5E0710"/>
      </x:bottom>
    </x:border>
    <x:border>
      <x:right style="thin">
        <x:color rgb="FF5E0710"/>
      </x:right>
      <x:top style="thin">
        <x:color rgb="FF5E0710"/>
      </x:top>
      <x:bottom style="thin">
        <x:color rgb="FF5E0710"/>
      </x:bottom>
    </x:border>
    <x:border>
      <x:bottom style="thin">
        <x:color rgb="FFD9DDE3"/>
      </x:bottom>
    </x:border>
    <x:border>
      <x:top style="thin">
        <x:color rgb="FFD9DDE3"/>
      </x:top>
      <x:bottom style="thin">
        <x:color rgb="FFD9DDE3"/>
      </x:bottom>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3" borderId="0" xfId="0" applyNumberFormat="1" applyFont="1" applyFill="1" applyBorder="1"/>
    <x:xf numFmtId="0" fontId="6" fillId="3" borderId="0" xfId="0" applyNumberFormat="1" applyFont="1" applyFill="1" applyBorder="1" applyAlignment="1">
      <x:alignment wrapText="1"/>
    </x:xf>
    <x:xf numFmtId="0" fontId="0" fillId="0" borderId="4" xfId="0" applyNumberFormat="1" applyFont="1" applyFill="1" applyBorder="1"/>
    <x:xf numFmtId="0" fontId="0" fillId="0" borderId="5" xfId="0" applyNumberFormat="1" applyFont="1" applyFill="1" applyBorder="1"/>
    <x:xf numFmtId="200" fontId="0" fillId="0" borderId="4" xfId="0" applyNumberFormat="1" applyFont="1" applyFill="1" applyBorder="1"/>
    <x:xf numFmtId="200" fontId="0" fillId="0" borderId="5" xfId="0" applyNumberFormat="1" applyFont="1" applyFill="1" applyBorder="1"/>
    <x:xf numFmtId="201" fontId="0" fillId="0" borderId="4" xfId="0" applyNumberFormat="1" applyFont="1" applyFill="1" applyBorder="1"/>
    <x:xf numFmtId="201" fontId="0" fillId="0" borderId="5"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center" wrapText="1"/>
    </x:xf>
  </x:cellXfs>
  <x:cellStyles count="1">
    <x:cellStyle name="Normal" xfId="0"/>
  </x:cellStyles>
  <x:dxfs count="24">
    <x:dxf>
      <x:font>
        <x:b/>
        <x:color rgb="FF5E0710"/>
      </x:font>
      <x:fill>
        <x:patternFill patternType="solid">
          <x:bgColor rgb="FFFBEAEC"/>
        </x:patternFill>
      </x:fill>
    </x:dxf>
    <x:dxf>
      <x:font>
        <x:b/>
        <x:color rgb="FF9A6700"/>
      </x:font>
      <x:fill>
        <x:patternFill patternType="solid">
          <x:bgColor rgb="FFFFF3CD"/>
        </x:patternFill>
      </x:fill>
    </x:dxf>
    <x:dxf>
      <x:font>
        <x:b/>
        <x:color rgb="FF157347"/>
      </x:font>
      <x:fill>
        <x:patternFill patternType="solid">
          <x:bgColor rgb="FFE8F5EC"/>
        </x:patternFill>
      </x:fill>
    </x:dxf>
    <x:dxf>
      <x:font>
        <x:b/>
        <x:color rgb="FF5E0710"/>
      </x:font>
      <x:fill>
        <x:patternFill patternType="solid">
          <x:bgColor rgb="FFFBEAEC"/>
        </x:patternFill>
      </x:fill>
    </x:dxf>
    <x:dxf>
      <x:font>
        <x:b/>
        <x:color rgb="FF9A6700"/>
      </x:font>
      <x:fill>
        <x:patternFill patternType="solid">
          <x:bgColor rgb="FFFFF3CD"/>
        </x:patternFill>
      </x:fill>
    </x:dxf>
    <x:dxf>
      <x:font>
        <x:b/>
        <x:color rgb="FF157347"/>
      </x:font>
      <x:fill>
        <x:patternFill patternType="solid">
          <x:bgColor rgb="FFE8F5EC"/>
        </x:patternFill>
      </x:fill>
    </x:dxf>
    <x:dxf>
      <x:font>
        <x:b/>
        <x:color rgb="FF5E0710"/>
      </x:font>
      <x:fill>
        <x:patternFill patternType="solid">
          <x:bgColor rgb="FFFBEAEC"/>
        </x:patternFill>
      </x:fill>
    </x:dxf>
    <x:dxf>
      <x:font>
        <x:b/>
        <x:color rgb="FF9A6700"/>
      </x:font>
      <x:fill>
        <x:patternFill patternType="solid">
          <x:bgColor rgb="FFFFF3CD"/>
        </x:patternFill>
      </x:fill>
    </x:dxf>
    <x:dxf>
      <x:font>
        <x:b/>
        <x:color rgb="FF157347"/>
      </x:font>
      <x:fill>
        <x:patternFill patternType="solid">
          <x:bgColor rgb="FFE8F5EC"/>
        </x:patternFill>
      </x:fill>
    </x:dxf>
    <x:dxf>
      <x:font>
        <x:b/>
        <x:color rgb="FF5E0710"/>
      </x:font>
      <x:fill>
        <x:patternFill patternType="solid">
          <x:bgColor rgb="FFFBEAEC"/>
        </x:patternFill>
      </x:fill>
    </x:dxf>
    <x:dxf>
      <x:font>
        <x:b/>
        <x:color rgb="FF9A6700"/>
      </x:font>
      <x:fill>
        <x:patternFill patternType="solid">
          <x:bgColor rgb="FFFFF3CD"/>
        </x:patternFill>
      </x:fill>
    </x:dxf>
    <x:dxf>
      <x:font>
        <x:b/>
        <x:color rgb="FF157347"/>
      </x:font>
      <x:fill>
        <x:patternFill patternType="solid">
          <x:bgColor rgb="FFE8F5EC"/>
        </x:patternFill>
      </x:fill>
    </x:dxf>
    <x:dxf>
      <x:font>
        <x:b/>
        <x:color rgb="FF5E0710"/>
      </x:font>
      <x:fill>
        <x:patternFill patternType="solid">
          <x:bgColor rgb="FFFBEAEC"/>
        </x:patternFill>
      </x:fill>
    </x:dxf>
    <x:dxf>
      <x:font>
        <x:b/>
        <x:color rgb="FF9A6700"/>
      </x:font>
      <x:fill>
        <x:patternFill patternType="solid">
          <x:bgColor rgb="FFFFF3CD"/>
        </x:patternFill>
      </x:fill>
    </x:dxf>
    <x:dxf>
      <x:font>
        <x:b/>
        <x:color rgb="FF157347"/>
      </x:font>
      <x:fill>
        <x:patternFill patternType="solid">
          <x:bgColor rgb="FFE8F5EC"/>
        </x:patternFill>
      </x:fill>
    </x:dxf>
    <x:dxf>
      <x:font>
        <x:b/>
        <x:color rgb="FF5E0710"/>
      </x:font>
      <x:fill>
        <x:patternFill patternType="solid">
          <x:bgColor rgb="FFFBEAEC"/>
        </x:patternFill>
      </x:fill>
    </x:dxf>
    <x:dxf>
      <x:font>
        <x:b/>
        <x:color rgb="FF9A6700"/>
      </x:font>
      <x:fill>
        <x:patternFill patternType="solid">
          <x:bgColor rgb="FFFFF3CD"/>
        </x:patternFill>
      </x:fill>
    </x:dxf>
    <x:dxf>
      <x:font>
        <x:b/>
        <x:color rgb="FF157347"/>
      </x:font>
      <x:fill>
        <x:patternFill patternType="solid">
          <x:bgColor rgb="FFE8F5EC"/>
        </x:patternFill>
      </x:fill>
    </x:dxf>
    <x:dxf>
      <x:font>
        <x:b/>
        <x:color rgb="FF5E0710"/>
      </x:font>
      <x:fill>
        <x:patternFill patternType="solid">
          <x:bgColor rgb="FFFBEAEC"/>
        </x:patternFill>
      </x:fill>
    </x:dxf>
    <x:dxf>
      <x:font>
        <x:b/>
        <x:color rgb="FF9A6700"/>
      </x:font>
      <x:fill>
        <x:patternFill patternType="solid">
          <x:bgColor rgb="FFFFF3CD"/>
        </x:patternFill>
      </x:fill>
    </x:dxf>
    <x:dxf>
      <x:font>
        <x:b/>
        <x:color rgb="FF157347"/>
      </x:font>
      <x:fill>
        <x:patternFill patternType="solid">
          <x:bgColor rgb="FFE8F5EC"/>
        </x:patternFill>
      </x:fill>
    </x:dxf>
    <x:dxf>
      <x:font>
        <x:b/>
        <x:color rgb="FF5E0710"/>
      </x:font>
      <x:fill>
        <x:patternFill patternType="solid">
          <x:bgColor rgb="FFFBEAEC"/>
        </x:patternFill>
      </x:fill>
    </x:dxf>
    <x:dxf>
      <x:font>
        <x:b/>
        <x:color rgb="FF9A6700"/>
      </x:font>
      <x:fill>
        <x:patternFill patternType="solid">
          <x:bgColor rgb="FFFFF3CD"/>
        </x:patternFill>
      </x:fill>
    </x:dxf>
    <x:dxf>
      <x:font>
        <x:b/>
        <x:color rgb="FF157347"/>
      </x:font>
      <x:fill>
        <x:patternFill patternType="solid">
          <x:bgColor rgb="FFE8F5E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e79dc7a77647b2" /><Relationship Type="http://schemas.openxmlformats.org/officeDocument/2006/relationships/theme" Target="/xl/theme/theme1.xml" Id="R02ed86091774411c" /><Relationship Type="http://schemas.openxmlformats.org/officeDocument/2006/relationships/sharedStrings" Target="/xl/sharedStrings.xml" Id="R5db74a8743524b97" /><Relationship Type="http://schemas.openxmlformats.org/officeDocument/2006/relationships/worksheet" Target="/xl/worksheets/sheet1.xml" Id="Ra9bbe109fa22401a" /><Relationship Type="http://schemas.openxmlformats.org/officeDocument/2006/relationships/worksheet" Target="/xl/worksheets/sheet2.xml" Id="Rc4048d537a9744bf" /><Relationship Type="http://schemas.openxmlformats.org/officeDocument/2006/relationships/worksheet" Target="/xl/worksheets/sheet3.xml" Id="Rbbbb5d7c931c4516" /><Relationship Type="http://schemas.openxmlformats.org/officeDocument/2006/relationships/worksheet" Target="/xl/worksheets/sheet4.xml" Id="R5679943aa8df4fe5" /><Relationship Type="http://schemas.openxmlformats.org/officeDocument/2006/relationships/worksheet" Target="/xl/worksheets/sheet5.xml" Id="R6925fa0de0894037" /><Relationship Type="http://schemas.microsoft.com/office/2017/10/relationships/person" Target="/xl/persons/person.xml" Id="Rb324f9ee5ebb4982" /></Relationships>
</file>

<file path=xl/persons/person.xml><?xml version="1.0" encoding="utf-8"?>
<xltc:personList xmlns:xltc="http://schemas.microsoft.com/office/spreadsheetml/2018/threadedcomments">
  <xltc:person displayName="Jenny Law" id="{E8809AB9-EC5D-4444-9035-623165FC6557}"/>
</xltc:personList>
</file>

<file path=xl/tables/table1.xml><?xml version="1.0" encoding="utf-8"?>
<x:table xmlns:x="http://schemas.openxmlformats.org/spreadsheetml/2006/main" id="1" name="UiLanguageTable" displayName="UiLanguageTable" ref="A4:H129" headerRowCount="1" totalsRowCount="0" totalsRowShown="0">
  <x:tableColumns count="8">
    <x:tableColumn id="1" name="Key"/>
    <x:tableColumn id="2" name="Context"/>
    <x:tableColumn id="3" name="English Source"/>
    <x:tableColumn id="4" name="Malay (ms)"/>
    <x:tableColumn id="5" name="Malay Status"/>
    <x:tableColumn id="6" name="Chinese (zh)"/>
    <x:tableColumn id="7" name="Chinese Status"/>
    <x:tableColumn id="8" name="Translator Notes"/>
  </x:tableColumns>
  <x:tableStyleInfo name="TableStyleMedium2" showFirstColumn="0" showLastColumn="0" showRowStripes="1" showColumnStripes="0"/>
</x:table>
</file>

<file path=xl/tables/table2.xml><?xml version="1.0" encoding="utf-8"?>
<x:table xmlns:x="http://schemas.openxmlformats.org/spreadsheetml/2006/main" id="2" name="HandbookLanguageTable" displayName="HandbookLanguageTable" ref="A4:I389" headerRowCount="1" totalsRowCount="0" totalsRowShown="0">
  <x:tableColumns count="9">
    <x:tableColumn id="1" name="Module"/>
    <x:tableColumn id="2" name="Field Key"/>
    <x:tableColumn id="3" name="Context"/>
    <x:tableColumn id="4" name="English Source"/>
    <x:tableColumn id="5" name="Malay (ms)"/>
    <x:tableColumn id="6" name="Malay Status"/>
    <x:tableColumn id="7" name="Chinese (zh)"/>
    <x:tableColumn id="8" name="Chinese Status"/>
    <x:tableColumn id="9" name="Developer / Translator Notes"/>
  </x:tableColumns>
  <x:tableStyleInfo name="TableStyleMedium2" showFirstColumn="0" showLastColumn="0" showRowStripes="1" showColumnStripes="0"/>
</x:table>
</file>

<file path=xl/tables/table3.xml><?xml version="1.0" encoding="utf-8"?>
<x:table xmlns:x="http://schemas.openxmlformats.org/spreadsheetml/2006/main" id="3" name="QuizLanguageTable" displayName="QuizLanguageTable" ref="A4:I243" headerRowCount="1" totalsRowCount="0" totalsRowShown="0">
  <x:tableColumns count="9">
    <x:tableColumn id="1" name="Question ID"/>
    <x:tableColumn id="2" name="Field Key"/>
    <x:tableColumn id="3" name="Context / Category"/>
    <x:tableColumn id="4" name="English Source"/>
    <x:tableColumn id="5" name="Malay (ms)"/>
    <x:tableColumn id="6" name="Malay Status"/>
    <x:tableColumn id="7" name="Chinese (zh)"/>
    <x:tableColumn id="8" name="Chinese Status"/>
    <x:tableColumn id="9" name="Translator Notes"/>
  </x:tableColumns>
  <x:tableStyleInfo name="TableStyleMedium2" showFirstColumn="0" showLastColumn="0" showRowStripes="1" showColumnStripes="0"/>
</x:table>
</file>

<file path=xl/tables/table4.xml><?xml version="1.0" encoding="utf-8"?>
<x:table xmlns:x="http://schemas.openxmlformats.org/spreadsheetml/2006/main" id="4" name="HardcodedUiLanguageTable" displayName="HardcodedUiLanguageTable" ref="A4:J134" headerRowCount="1" totalsRowCount="0" totalsRowShown="0">
  <x:tableColumns count="10">
    <x:tableColumn id="1" name="Source File"/>
    <x:tableColumn id="2" name="Line"/>
    <x:tableColumn id="3" name="Proposed Key"/>
    <x:tableColumn id="4" name="Context"/>
    <x:tableColumn id="5" name="English Source"/>
    <x:tableColumn id="6" name="Malay (ms)"/>
    <x:tableColumn id="7" name="Malay Status"/>
    <x:tableColumn id="8" name="Chinese (zh)"/>
    <x:tableColumn id="9" name="Chinese Status"/>
    <x:tableColumn id="10" name="Implementation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41f2f4f0c7140bb" /></Relationships>
</file>

<file path=xl/worksheets/_rels/sheet2.xml.rels>&#65279;<?xml version="1.0" encoding="utf-8"?><Relationships xmlns="http://schemas.openxmlformats.org/package/2006/relationships"><Relationship Type="http://schemas.openxmlformats.org/officeDocument/2006/relationships/table" Target="/xl/tables/table2.xml" Id="R4316da83f7bf47d6" /></Relationships>
</file>

<file path=xl/worksheets/_rels/sheet3.xml.rels>&#65279;<?xml version="1.0" encoding="utf-8"?><Relationships xmlns="http://schemas.openxmlformats.org/package/2006/relationships"><Relationship Type="http://schemas.openxmlformats.org/officeDocument/2006/relationships/table" Target="/xl/tables/table3.xml" Id="R474b345007d74568" /></Relationships>
</file>

<file path=xl/worksheets/_rels/sheet4.xml.rels>&#65279;<?xml version="1.0" encoding="utf-8"?><Relationships xmlns="http://schemas.openxmlformats.org/package/2006/relationships"><Relationship Type="http://schemas.openxmlformats.org/officeDocument/2006/relationships/table" Target="/xl/tables/table4.xml" Id="Rdd08e4b91f244c97" /></Relationships>
</file>

<file path=xl/worksheets/sheet1.xml><?xml version="1.0" encoding="utf-8"?>
<x:worksheet xmlns:x="http://schemas.openxmlformats.org/spreadsheetml/2006/main">
  <x:sheetViews>
    <x:sheetView showGridLines="0" workbookViewId="0"/>
  </x:sheetViews>
  <x:sheetFormatPr defaultRowHeight="15"/>
  <x:cols>
    <x:col min="1" max="1" width="25" hidden="0" customWidth="1"/>
    <x:col min="2" max="2" width="18" hidden="0" customWidth="1"/>
    <x:col min="3" max="3" width="48" hidden="0" customWidth="1"/>
    <x:col min="4" max="4" width="48" hidden="0" customWidth="1"/>
    <x:col min="5" max="5" width="20" hidden="0" customWidth="1"/>
    <x:col min="6" max="6" width="48" hidden="0" customWidth="1"/>
    <x:col min="7" max="7" width="20" hidden="0" customWidth="1"/>
    <x:col min="8" max="8" width="30" hidden="0" customWidth="1"/>
  </x:cols>
  <x:sheetData>
    <x:row r="1" ht="28" customHeight="1">
      <x:c r="A1" s="3" t="str">
        <x:v>Onboarding Portal UI Language Pack</x:v>
      </x:c>
      <x:c r="B1" s="3"/>
      <x:c r="C1" s="3"/>
      <x:c r="D1" s="3"/>
      <x:c r="E1" s="3"/>
      <x:c r="F1" s="3"/>
      <x:c r="G1" s="3"/>
      <x:c r="H1" s="3"/>
    </x:row>
    <x:row r="2" ht="36" customHeight="1">
      <x:c r="A2" s="7" t="str">
        <x:v>Edit the yellow Malay and Chinese cells. Status updates automatically; unchanged English text is marked for review.</x:v>
      </x:c>
      <x:c r="B2" s="7"/>
      <x:c r="C2" s="7"/>
      <x:c r="D2" s="7"/>
      <x:c r="E2" s="7"/>
      <x:c r="F2" s="7"/>
      <x:c r="G2" s="7"/>
      <x:c r="H2" s="7"/>
    </x:row>
    <x:row r="4">
      <x:c r="A4" s="16" t="str">
        <x:v>Key</x:v>
      </x:c>
      <x:c r="B4" s="17" t="str">
        <x:v>Context</x:v>
      </x:c>
      <x:c r="C4" s="17" t="str">
        <x:v>English Source</x:v>
      </x:c>
      <x:c r="D4" s="17" t="str">
        <x:v>Malay (ms)</x:v>
      </x:c>
      <x:c r="E4" s="17" t="str">
        <x:v>Malay Status</x:v>
      </x:c>
      <x:c r="F4" s="17" t="str">
        <x:v>Chinese (zh)</x:v>
      </x:c>
      <x:c r="G4" s="17" t="str">
        <x:v>Chinese Status</x:v>
      </x:c>
      <x:c r="H4" s="18" t="str">
        <x:v>Translator Notes</x:v>
      </x:c>
    </x:row>
    <x:row r="5" ht="20" customHeight="1">
      <x:c r="A5" s="24" t="str">
        <x:v>companyName</x:v>
      </x:c>
      <x:c r="B5" s="24" t="str">
        <x:v>General interface</x:v>
      </x:c>
      <x:c r="C5" s="24" t="str">
        <x:v>Red Point</x:v>
      </x:c>
      <x:c r="D5" s="26" t="str">
        <x:v>Red Point</x:v>
      </x:c>
      <x:c r="E5" s="24" t="str">
        <x:f>IF(D5="","Missing",IF(TRIM(D5)=TRIM(C5),"Review: same as English","Translated"))</x:f>
        <x:v>Review: same as English</x:v>
      </x:c>
      <x:c r="F5" s="26" t="str">
        <x:v>Red Point</x:v>
      </x:c>
      <x:c r="G5" s="24" t="str">
        <x:f>IF(F5="","Missing",IF(TRIM(F5)=TRIM(C5),"Review: same as English","Translated"))</x:f>
        <x:v>Review: same as English</x:v>
      </x:c>
      <x:c r="H5" s="26" t="str"/>
    </x:row>
    <x:row r="6" ht="20" customHeight="1">
      <x:c r="A6" s="25" t="str">
        <x:v>companyFullName</x:v>
      </x:c>
      <x:c r="B6" s="25" t="str">
        <x:v>General interface</x:v>
      </x:c>
      <x:c r="C6" s="25" t="str">
        <x:v>Red Point Sdn. Bhd.</x:v>
      </x:c>
      <x:c r="D6" s="27" t="str">
        <x:v>Red Point Sdn. Bhd.</x:v>
      </x:c>
      <x:c r="E6" s="25" t="str">
        <x:f>IF(D6="","Missing",IF(TRIM(D6)=TRIM(C6),"Review: same as English","Translated"))</x:f>
        <x:v>Review: same as English</x:v>
      </x:c>
      <x:c r="F6" s="27" t="str">
        <x:v>Red Point Sdn. Bhd.</x:v>
      </x:c>
      <x:c r="G6" s="25" t="str">
        <x:f>IF(F6="","Missing",IF(TRIM(F6)=TRIM(C6),"Review: same as English","Translated"))</x:f>
        <x:v>Review: same as English</x:v>
      </x:c>
      <x:c r="H6" s="27" t="str"/>
    </x:row>
    <x:row r="7" ht="20" customHeight="1">
      <x:c r="A7" s="25" t="str">
        <x:v>portalTitle</x:v>
      </x:c>
      <x:c r="B7" s="25" t="str">
        <x:v>General interface</x:v>
      </x:c>
      <x:c r="C7" s="25" t="str">
        <x:v>Employee Onboarding Portal</x:v>
      </x:c>
      <x:c r="D7" s="27" t="str">
        <x:v>Portal Suai Kenal Pekerja</x:v>
      </x:c>
      <x:c r="E7" s="25" t="str">
        <x:f>IF(D7="","Missing",IF(TRIM(D7)=TRIM(C7),"Review: same as English","Translated"))</x:f>
        <x:v>Translated</x:v>
      </x:c>
      <x:c r="F7" s="27" t="str">
        <x:v>员工入职培训门户</x:v>
      </x:c>
      <x:c r="G7" s="25" t="str">
        <x:f>IF(F7="","Missing",IF(TRIM(F7)=TRIM(C7),"Review: same as English","Translated"))</x:f>
        <x:v>Translated</x:v>
      </x:c>
      <x:c r="H7" s="27" t="str"/>
    </x:row>
    <x:row r="8" ht="20" customHeight="1">
      <x:c r="A8" s="25" t="str">
        <x:v>navDashboard</x:v>
      </x:c>
      <x:c r="B8" s="25" t="str">
        <x:v>Navigation</x:v>
      </x:c>
      <x:c r="C8" s="25" t="str">
        <x:v>Dashboard</x:v>
      </x:c>
      <x:c r="D8" s="27" t="str">
        <x:v>Papan Pemuka</x:v>
      </x:c>
      <x:c r="E8" s="25" t="str">
        <x:f>IF(D8="","Missing",IF(TRIM(D8)=TRIM(C8),"Review: same as English","Translated"))</x:f>
        <x:v>Translated</x:v>
      </x:c>
      <x:c r="F8" s="27" t="str">
        <x:v>仪表板</x:v>
      </x:c>
      <x:c r="G8" s="25" t="str">
        <x:f>IF(F8="","Missing",IF(TRIM(F8)=TRIM(C8),"Review: same as English","Translated"))</x:f>
        <x:v>Translated</x:v>
      </x:c>
      <x:c r="H8" s="27" t="str"/>
    </x:row>
    <x:row r="9" ht="20" customHeight="1">
      <x:c r="A9" s="25" t="str">
        <x:v>navHandbooks</x:v>
      </x:c>
      <x:c r="B9" s="25" t="str">
        <x:v>Navigation</x:v>
      </x:c>
      <x:c r="C9" s="25" t="str">
        <x:v>Handbooks</x:v>
      </x:c>
      <x:c r="D9" s="27" t="str">
        <x:v>Buku Panduan</x:v>
      </x:c>
      <x:c r="E9" s="25" t="str">
        <x:f>IF(D9="","Missing",IF(TRIM(D9)=TRIM(C9),"Review: same as English","Translated"))</x:f>
        <x:v>Translated</x:v>
      </x:c>
      <x:c r="F9" s="27" t="str">
        <x:v>员工手册</x:v>
      </x:c>
      <x:c r="G9" s="25" t="str">
        <x:f>IF(F9="","Missing",IF(TRIM(F9)=TRIM(C9),"Review: same as English","Translated"))</x:f>
        <x:v>Translated</x:v>
      </x:c>
      <x:c r="H9" s="27" t="str"/>
    </x:row>
    <x:row r="10" ht="20" customHeight="1">
      <x:c r="A10" s="25" t="str">
        <x:v>navQuiz</x:v>
      </x:c>
      <x:c r="B10" s="25" t="str">
        <x:v>Navigation</x:v>
      </x:c>
      <x:c r="C10" s="25" t="str">
        <x:v>Compliance Quiz</x:v>
      </x:c>
      <x:c r="D10" s="27" t="str">
        <x:v>Kuiz Pematuhan</x:v>
      </x:c>
      <x:c r="E10" s="25" t="str">
        <x:f>IF(D10="","Missing",IF(TRIM(D10)=TRIM(C10),"Review: same as English","Translated"))</x:f>
        <x:v>Translated</x:v>
      </x:c>
      <x:c r="F10" s="27" t="str">
        <x:v>合规测试</x:v>
      </x:c>
      <x:c r="G10" s="25" t="str">
        <x:f>IF(F10="","Missing",IF(TRIM(F10)=TRIM(C10),"Review: same as English","Translated"))</x:f>
        <x:v>Translated</x:v>
      </x:c>
      <x:c r="H10" s="27" t="str"/>
    </x:row>
    <x:row r="11" ht="20" customHeight="1">
      <x:c r="A11" s="25" t="str">
        <x:v>navHrAnalytics</x:v>
      </x:c>
      <x:c r="B11" s="25" t="str">
        <x:v>Navigation</x:v>
      </x:c>
      <x:c r="C11" s="25" t="str">
        <x:v>HR Analytics</x:v>
      </x:c>
      <x:c r="D11" s="27" t="str">
        <x:v>Analitik HR</x:v>
      </x:c>
      <x:c r="E11" s="25" t="str">
        <x:f>IF(D11="","Missing",IF(TRIM(D11)=TRIM(C11),"Review: same as English","Translated"))</x:f>
        <x:v>Translated</x:v>
      </x:c>
      <x:c r="F11" s="27" t="str">
        <x:v>HR 分析</x:v>
      </x:c>
      <x:c r="G11" s="25" t="str">
        <x:f>IF(F11="","Missing",IF(TRIM(F11)=TRIM(C11),"Review: same as English","Translated"))</x:f>
        <x:v>Translated</x:v>
      </x:c>
      <x:c r="H11" s="27" t="str"/>
    </x:row>
    <x:row r="12" ht="20" customHeight="1">
      <x:c r="A12" s="25" t="str">
        <x:v>navDocuments</x:v>
      </x:c>
      <x:c r="B12" s="25" t="str">
        <x:v>Navigation</x:v>
      </x:c>
      <x:c r="C12" s="25" t="str">
        <x:v>My Documents</x:v>
      </x:c>
      <x:c r="D12" s="27" t="str">
        <x:v>Dokumen Saya</x:v>
      </x:c>
      <x:c r="E12" s="25" t="str">
        <x:f>IF(D12="","Missing",IF(TRIM(D12)=TRIM(C12),"Review: same as English","Translated"))</x:f>
        <x:v>Translated</x:v>
      </x:c>
      <x:c r="F12" s="27" t="str">
        <x:v>我的文件</x:v>
      </x:c>
      <x:c r="G12" s="25" t="str">
        <x:f>IF(F12="","Missing",IF(TRIM(F12)=TRIM(C12),"Review: same as English","Translated"))</x:f>
        <x:v>Translated</x:v>
      </x:c>
      <x:c r="H12" s="27" t="str"/>
    </x:row>
    <x:row r="13" ht="20" customHeight="1">
      <x:c r="A13" s="25" t="str">
        <x:v>navSettings</x:v>
      </x:c>
      <x:c r="B13" s="25" t="str">
        <x:v>Navigation</x:v>
      </x:c>
      <x:c r="C13" s="25" t="str">
        <x:v>Settings</x:v>
      </x:c>
      <x:c r="D13" s="27" t="str">
        <x:v>Tetapan</x:v>
      </x:c>
      <x:c r="E13" s="25" t="str">
        <x:f>IF(D13="","Missing",IF(TRIM(D13)=TRIM(C13),"Review: same as English","Translated"))</x:f>
        <x:v>Translated</x:v>
      </x:c>
      <x:c r="F13" s="27" t="str">
        <x:v>设置</x:v>
      </x:c>
      <x:c r="G13" s="25" t="str">
        <x:f>IF(F13="","Missing",IF(TRIM(F13)=TRIM(C13),"Review: same as English","Translated"))</x:f>
        <x:v>Translated</x:v>
      </x:c>
      <x:c r="H13" s="27" t="str"/>
    </x:row>
    <x:row r="14" ht="20" customHeight="1">
      <x:c r="A14" s="25" t="str">
        <x:v>searchPlaceholder</x:v>
      </x:c>
      <x:c r="B14" s="25" t="str">
        <x:v>General interface</x:v>
      </x:c>
      <x:c r="C14" s="25" t="str">
        <x:v>Search handbooks, policies...</x:v>
      </x:c>
      <x:c r="D14" s="27" t="str">
        <x:v>Cari buku panduan, dasar...</x:v>
      </x:c>
      <x:c r="E14" s="25" t="str">
        <x:f>IF(D14="","Missing",IF(TRIM(D14)=TRIM(C14),"Review: same as English","Translated"))</x:f>
        <x:v>Translated</x:v>
      </x:c>
      <x:c r="F14" s="27" t="str">
        <x:v>搜索手册、政策...</x:v>
      </x:c>
      <x:c r="G14" s="25" t="str">
        <x:f>IF(F14="","Missing",IF(TRIM(F14)=TRIM(C14),"Review: same as English","Translated"))</x:f>
        <x:v>Translated</x:v>
      </x:c>
      <x:c r="H14" s="27" t="str"/>
    </x:row>
    <x:row r="15" ht="20" customHeight="1">
      <x:c r="A15" s="25" t="str">
        <x:v>aiAssistant</x:v>
      </x:c>
      <x:c r="B15" s="25" t="str">
        <x:v>AI assistant</x:v>
      </x:c>
      <x:c r="C15" s="25" t="str">
        <x:v>AI Assistant</x:v>
      </x:c>
      <x:c r="D15" s="27" t="str">
        <x:v>Pembantu AI</x:v>
      </x:c>
      <x:c r="E15" s="25" t="str">
        <x:f>IF(D15="","Missing",IF(TRIM(D15)=TRIM(C15),"Review: same as English","Translated"))</x:f>
        <x:v>Translated</x:v>
      </x:c>
      <x:c r="F15" s="27" t="str">
        <x:v>AI 助手</x:v>
      </x:c>
      <x:c r="G15" s="25" t="str">
        <x:f>IF(F15="","Missing",IF(TRIM(F15)=TRIM(C15),"Review: same as English","Translated"))</x:f>
        <x:v>Translated</x:v>
      </x:c>
      <x:c r="H15" s="27" t="str"/>
    </x:row>
    <x:row r="16" ht="20" customHeight="1">
      <x:c r="A16" s="25" t="str">
        <x:v>switchToHr</x:v>
      </x:c>
      <x:c r="B16" s="25" t="str">
        <x:v>General interface</x:v>
      </x:c>
      <x:c r="C16" s="25" t="str">
        <x:v>Switch to HR View</x:v>
      </x:c>
      <x:c r="D16" s="27" t="str">
        <x:v>Tukar ke Pandangan HR</x:v>
      </x:c>
      <x:c r="E16" s="25" t="str">
        <x:f>IF(D16="","Missing",IF(TRIM(D16)=TRIM(C16),"Review: same as English","Translated"))</x:f>
        <x:v>Translated</x:v>
      </x:c>
      <x:c r="F16" s="27" t="str">
        <x:v>切换至 HR 视图</x:v>
      </x:c>
      <x:c r="G16" s="25" t="str">
        <x:f>IF(F16="","Missing",IF(TRIM(F16)=TRIM(C16),"Review: same as English","Translated"))</x:f>
        <x:v>Translated</x:v>
      </x:c>
      <x:c r="H16" s="27" t="str"/>
    </x:row>
    <x:row r="17" ht="20" customHeight="1">
      <x:c r="A17" s="25" t="str">
        <x:v>switchToEmployee</x:v>
      </x:c>
      <x:c r="B17" s="25" t="str">
        <x:v>General interface</x:v>
      </x:c>
      <x:c r="C17" s="25" t="str">
        <x:v>Switch to Employee</x:v>
      </x:c>
      <x:c r="D17" s="27" t="str">
        <x:v>Tukar ke Pandangan Pekerja</x:v>
      </x:c>
      <x:c r="E17" s="25" t="str">
        <x:f>IF(D17="","Missing",IF(TRIM(D17)=TRIM(C17),"Review: same as English","Translated"))</x:f>
        <x:v>Translated</x:v>
      </x:c>
      <x:c r="F17" s="27" t="str">
        <x:v>切换至员工视图</x:v>
      </x:c>
      <x:c r="G17" s="25" t="str">
        <x:f>IF(F17="","Missing",IF(TRIM(F17)=TRIM(C17),"Review: same as English","Translated"))</x:f>
        <x:v>Translated</x:v>
      </x:c>
      <x:c r="H17" s="27" t="str"/>
    </x:row>
    <x:row r="18" ht="20" customHeight="1">
      <x:c r="A18" s="25" t="str">
        <x:v>notifications</x:v>
      </x:c>
      <x:c r="B18" s="25" t="str">
        <x:v>General interface</x:v>
      </x:c>
      <x:c r="C18" s="25" t="str">
        <x:v>Notifications</x:v>
      </x:c>
      <x:c r="D18" s="27" t="str">
        <x:v>Pemberitahuan</x:v>
      </x:c>
      <x:c r="E18" s="25" t="str">
        <x:f>IF(D18="","Missing",IF(TRIM(D18)=TRIM(C18),"Review: same as English","Translated"))</x:f>
        <x:v>Translated</x:v>
      </x:c>
      <x:c r="F18" s="27" t="str">
        <x:v>通知</x:v>
      </x:c>
      <x:c r="G18" s="25" t="str">
        <x:f>IF(F18="","Missing",IF(TRIM(F18)=TRIM(C18),"Review: same as English","Translated"))</x:f>
        <x:v>Translated</x:v>
      </x:c>
      <x:c r="H18" s="27" t="str"/>
    </x:row>
    <x:row r="19" ht="20" customHeight="1">
      <x:c r="A19" s="25" t="str">
        <x:v>helpSupport</x:v>
      </x:c>
      <x:c r="B19" s="25" t="str">
        <x:v>General interface</x:v>
      </x:c>
      <x:c r="C19" s="25" t="str">
        <x:v>Help &amp; Support</x:v>
      </x:c>
      <x:c r="D19" s="27" t="str">
        <x:v>Bantuan &amp; Sokongan</x:v>
      </x:c>
      <x:c r="E19" s="25" t="str">
        <x:f>IF(D19="","Missing",IF(TRIM(D19)=TRIM(C19),"Review: same as English","Translated"))</x:f>
        <x:v>Translated</x:v>
      </x:c>
      <x:c r="F19" s="27" t="str">
        <x:v>帮助与支持</x:v>
      </x:c>
      <x:c r="G19" s="25" t="str">
        <x:f>IF(F19="","Missing",IF(TRIM(F19)=TRIM(C19),"Review: same as English","Translated"))</x:f>
        <x:v>Translated</x:v>
      </x:c>
      <x:c r="H19" s="27" t="str"/>
    </x:row>
    <x:row r="20" ht="20" customHeight="1">
      <x:c r="A20" s="25" t="str">
        <x:v>loginTitle</x:v>
      </x:c>
      <x:c r="B20" s="25" t="str">
        <x:v>Login</x:v>
      </x:c>
      <x:c r="C20" s="25" t="str">
        <x:v>Welcome to Red Point</x:v>
      </x:c>
      <x:c r="D20" s="27" t="str">
        <x:v>Selamat Datang ke Red Point</x:v>
      </x:c>
      <x:c r="E20" s="25" t="str">
        <x:f>IF(D20="","Missing",IF(TRIM(D20)=TRIM(C20),"Review: same as English","Translated"))</x:f>
        <x:v>Translated</x:v>
      </x:c>
      <x:c r="F20" s="27" t="str">
        <x:v>欢迎来到 Red Point</x:v>
      </x:c>
      <x:c r="G20" s="25" t="str">
        <x:f>IF(F20="","Missing",IF(TRIM(F20)=TRIM(C20),"Review: same as English","Translated"))</x:f>
        <x:v>Translated</x:v>
      </x:c>
      <x:c r="H20" s="27" t="str"/>
    </x:row>
    <x:row r="21" ht="34" customHeight="1">
      <x:c r="A21" s="25" t="str">
        <x:v>loginSubtitle</x:v>
      </x:c>
      <x:c r="B21" s="25" t="str">
        <x:v>Login</x:v>
      </x:c>
      <x:c r="C21" s="25" t="str">
        <x:v>Please sign in to access your onboarding handbook and company policies</x:v>
      </x:c>
      <x:c r="D21" s="27" t="str">
        <x:v>Sila log masuk untuk mengakses buku panduan suai kenal dan dasar syarikat anda</x:v>
      </x:c>
      <x:c r="E21" s="25" t="str">
        <x:f>IF(D21="","Missing",IF(TRIM(D21)=TRIM(C21),"Review: same as English","Translated"))</x:f>
        <x:v>Translated</x:v>
      </x:c>
      <x:c r="F21" s="27" t="str">
        <x:v>请登录以访问您的入职培训手册和公司政策</x:v>
      </x:c>
      <x:c r="G21" s="25" t="str">
        <x:f>IF(F21="","Missing",IF(TRIM(F21)=TRIM(C21),"Review: same as English","Translated"))</x:f>
        <x:v>Translated</x:v>
      </x:c>
      <x:c r="H21" s="27" t="str"/>
    </x:row>
    <x:row r="22" ht="20" customHeight="1">
      <x:c r="A22" s="25" t="str">
        <x:v>loginAsEmployee</x:v>
      </x:c>
      <x:c r="B22" s="25" t="str">
        <x:v>Login</x:v>
      </x:c>
      <x:c r="C22" s="25" t="str">
        <x:v>Employee Login</x:v>
      </x:c>
      <x:c r="D22" s="27" t="str">
        <x:v>Log Masuk Pekerja</x:v>
      </x:c>
      <x:c r="E22" s="25" t="str">
        <x:f>IF(D22="","Missing",IF(TRIM(D22)=TRIM(C22),"Review: same as English","Translated"))</x:f>
        <x:v>Translated</x:v>
      </x:c>
      <x:c r="F22" s="27" t="str">
        <x:v>员工登录</x:v>
      </x:c>
      <x:c r="G22" s="25" t="str">
        <x:f>IF(F22="","Missing",IF(TRIM(F22)=TRIM(C22),"Review: same as English","Translated"))</x:f>
        <x:v>Translated</x:v>
      </x:c>
      <x:c r="H22" s="27" t="str"/>
    </x:row>
    <x:row r="23" ht="20" customHeight="1">
      <x:c r="A23" s="25" t="str">
        <x:v>loginAsHr</x:v>
      </x:c>
      <x:c r="B23" s="25" t="str">
        <x:v>Login</x:v>
      </x:c>
      <x:c r="C23" s="25" t="str">
        <x:v>HR Admin Login</x:v>
      </x:c>
      <x:c r="D23" s="27" t="str">
        <x:v>Log Masuk Pentadbir HR</x:v>
      </x:c>
      <x:c r="E23" s="25" t="str">
        <x:f>IF(D23="","Missing",IF(TRIM(D23)=TRIM(C23),"Review: same as English","Translated"))</x:f>
        <x:v>Translated</x:v>
      </x:c>
      <x:c r="F23" s="27" t="str">
        <x:v>HR 管理员登录</x:v>
      </x:c>
      <x:c r="G23" s="25" t="str">
        <x:f>IF(F23="","Missing",IF(TRIM(F23)=TRIM(C23),"Review: same as English","Translated"))</x:f>
        <x:v>Translated</x:v>
      </x:c>
      <x:c r="H23" s="27" t="str"/>
    </x:row>
    <x:row r="24" ht="20" customHeight="1">
      <x:c r="A24" s="25" t="str">
        <x:v>emailOrEmpId</x:v>
      </x:c>
      <x:c r="B24" s="25" t="str">
        <x:v>General interface</x:v>
      </x:c>
      <x:c r="C24" s="25" t="str">
        <x:v>Email or Employee ID</x:v>
      </x:c>
      <x:c r="D24" s="27" t="str">
        <x:v>Emel atau ID Pekerja</x:v>
      </x:c>
      <x:c r="E24" s="25" t="str">
        <x:f>IF(D24="","Missing",IF(TRIM(D24)=TRIM(C24),"Review: same as English","Translated"))</x:f>
        <x:v>Translated</x:v>
      </x:c>
      <x:c r="F24" s="27" t="str">
        <x:v>电子邮件或员工 ID</x:v>
      </x:c>
      <x:c r="G24" s="25" t="str">
        <x:f>IF(F24="","Missing",IF(TRIM(F24)=TRIM(C24),"Review: same as English","Translated"))</x:f>
        <x:v>Translated</x:v>
      </x:c>
      <x:c r="H24" s="27" t="str"/>
    </x:row>
    <x:row r="25" ht="20" customHeight="1">
      <x:c r="A25" s="25" t="str">
        <x:v>password</x:v>
      </x:c>
      <x:c r="B25" s="25" t="str">
        <x:v>General interface</x:v>
      </x:c>
      <x:c r="C25" s="25" t="str">
        <x:v>Password</x:v>
      </x:c>
      <x:c r="D25" s="27" t="str">
        <x:v>Kata Laluan</x:v>
      </x:c>
      <x:c r="E25" s="25" t="str">
        <x:f>IF(D25="","Missing",IF(TRIM(D25)=TRIM(C25),"Review: same as English","Translated"))</x:f>
        <x:v>Translated</x:v>
      </x:c>
      <x:c r="F25" s="27" t="str">
        <x:v>密码</x:v>
      </x:c>
      <x:c r="G25" s="25" t="str">
        <x:f>IF(F25="","Missing",IF(TRIM(F25)=TRIM(C25),"Review: same as English","Translated"))</x:f>
        <x:v>Translated</x:v>
      </x:c>
      <x:c r="H25" s="27" t="str"/>
    </x:row>
    <x:row r="26" ht="20" customHeight="1">
      <x:c r="A26" s="25" t="str">
        <x:v>loginButton</x:v>
      </x:c>
      <x:c r="B26" s="25" t="str">
        <x:v>Login</x:v>
      </x:c>
      <x:c r="C26" s="25" t="str">
        <x:v>Sign In to Portal</x:v>
      </x:c>
      <x:c r="D26" s="27" t="str">
        <x:v>Log Masuk ke Portal</x:v>
      </x:c>
      <x:c r="E26" s="25" t="str">
        <x:f>IF(D26="","Missing",IF(TRIM(D26)=TRIM(C26),"Review: same as English","Translated"))</x:f>
        <x:v>Translated</x:v>
      </x:c>
      <x:c r="F26" s="27" t="str">
        <x:v>登录入职门户</x:v>
      </x:c>
      <x:c r="G26" s="25" t="str">
        <x:f>IF(F26="","Missing",IF(TRIM(F26)=TRIM(C26),"Review: same as English","Translated"))</x:f>
        <x:v>Translated</x:v>
      </x:c>
      <x:c r="H26" s="27" t="str"/>
    </x:row>
    <x:row r="27" ht="20" customHeight="1">
      <x:c r="A27" s="25" t="str">
        <x:v>demoPresets</x:v>
      </x:c>
      <x:c r="B27" s="25" t="str">
        <x:v>General interface</x:v>
      </x:c>
      <x:c r="C27" s="25" t="str">
        <x:v>Quick Demo Sign-In:</x:v>
      </x:c>
      <x:c r="D27" s="27" t="str">
        <x:v>Log Masuk Segera (Demo):</x:v>
      </x:c>
      <x:c r="E27" s="25" t="str">
        <x:f>IF(D27="","Missing",IF(TRIM(D27)=TRIM(C27),"Review: same as English","Translated"))</x:f>
        <x:v>Translated</x:v>
      </x:c>
      <x:c r="F27" s="27" t="str">
        <x:v>快速演示登录：</x:v>
      </x:c>
      <x:c r="G27" s="25" t="str">
        <x:f>IF(F27="","Missing",IF(TRIM(F27)=TRIM(C27),"Review: same as English","Translated"))</x:f>
        <x:v>Translated</x:v>
      </x:c>
      <x:c r="H27" s="27" t="str"/>
    </x:row>
    <x:row r="28" ht="20" customHeight="1">
      <x:c r="A28" s="25" t="str">
        <x:v>welcomeHeader</x:v>
      </x:c>
      <x:c r="B28" s="25" t="str">
        <x:v>General interface</x:v>
      </x:c>
      <x:c r="C28" s="25" t="str">
        <x:v>Welcome aboard,</x:v>
      </x:c>
      <x:c r="D28" s="27" t="str">
        <x:v>Selamat datang,</x:v>
      </x:c>
      <x:c r="E28" s="25" t="str">
        <x:f>IF(D28="","Missing",IF(TRIM(D28)=TRIM(C28),"Review: same as English","Translated"))</x:f>
        <x:v>Translated</x:v>
      </x:c>
      <x:c r="F28" s="27" t="str">
        <x:v>欢迎加入，</x:v>
      </x:c>
      <x:c r="G28" s="25" t="str">
        <x:f>IF(F28="","Missing",IF(TRIM(F28)=TRIM(C28),"Review: same as English","Translated"))</x:f>
        <x:v>Translated</x:v>
      </x:c>
      <x:c r="H28" s="27" t="str"/>
    </x:row>
    <x:row r="29" ht="48" customHeight="1">
      <x:c r="A29" s="25" t="str">
        <x:v>welcomeSubtitle</x:v>
      </x:c>
      <x:c r="B29" s="25" t="str">
        <x:v>General interface</x:v>
      </x:c>
      <x:c r="C29" s="25" t="str">
        <x:v>Your onboarding journey is underway. Complete the remaining steps to finalize your employment setup.</x:v>
      </x:c>
      <x:c r="D29" s="27" t="str">
        <x:v>Perjalanan suai kenal anda sedang berlangsung. Selesaikan langkah seterusnya untuk melengkapkan tetapan pekerjaan anda.</x:v>
      </x:c>
      <x:c r="E29" s="25" t="str">
        <x:f>IF(D29="","Missing",IF(TRIM(D29)=TRIM(C29),"Review: same as English","Translated"))</x:f>
        <x:v>Translated</x:v>
      </x:c>
      <x:c r="F29" s="27" t="str">
        <x:v>您的入职流程正在有序推进中。请完成剩余步骤以定稿您的入职设置。</x:v>
      </x:c>
      <x:c r="G29" s="25" t="str">
        <x:f>IF(F29="","Missing",IF(TRIM(F29)=TRIM(C29),"Review: same as English","Translated"))</x:f>
        <x:v>Translated</x:v>
      </x:c>
      <x:c r="H29" s="27" t="str"/>
    </x:row>
    <x:row r="30" ht="20" customHeight="1">
      <x:c r="A30" s="25" t="str">
        <x:v>overallProgress</x:v>
      </x:c>
      <x:c r="B30" s="25" t="str">
        <x:v>General interface</x:v>
      </x:c>
      <x:c r="C30" s="25" t="str">
        <x:v>Overall Progress</x:v>
      </x:c>
      <x:c r="D30" s="27" t="str">
        <x:v>Kemajuan Keseluruhan</x:v>
      </x:c>
      <x:c r="E30" s="25" t="str">
        <x:f>IF(D30="","Missing",IF(TRIM(D30)=TRIM(C30),"Review: same as English","Translated"))</x:f>
        <x:v>Translated</x:v>
      </x:c>
      <x:c r="F30" s="27" t="str">
        <x:v>总体完成度</x:v>
      </x:c>
      <x:c r="G30" s="25" t="str">
        <x:f>IF(F30="","Missing",IF(TRIM(F30)=TRIM(C30),"Review: same as English","Translated"))</x:f>
        <x:v>Translated</x:v>
      </x:c>
      <x:c r="H30" s="27" t="str"/>
    </x:row>
    <x:row r="31" ht="20" customHeight="1">
      <x:c r="A31" s="25" t="str">
        <x:v>daysRemaining</x:v>
      </x:c>
      <x:c r="B31" s="25" t="str">
        <x:v>General interface</x:v>
      </x:c>
      <x:c r="C31" s="25" t="str">
        <x:v>Days remaining to complete</x:v>
      </x:c>
      <x:c r="D31" s="27" t="str">
        <x:v>Hari lagi untuk diselesaikan</x:v>
      </x:c>
      <x:c r="E31" s="25" t="str">
        <x:f>IF(D31="","Missing",IF(TRIM(D31)=TRIM(C31),"Review: same as English","Translated"))</x:f>
        <x:v>Translated</x:v>
      </x:c>
      <x:c r="F31" s="27" t="str">
        <x:v>天内需完成</x:v>
      </x:c>
      <x:c r="G31" s="25" t="str">
        <x:f>IF(F31="","Missing",IF(TRIM(F31)=TRIM(C31),"Review: same as English","Translated"))</x:f>
        <x:v>Translated</x:v>
      </x:c>
      <x:c r="H31" s="27" t="str"/>
    </x:row>
    <x:row r="32" ht="20" customHeight="1">
      <x:c r="A32" s="25" t="str">
        <x:v>milestoneTitle</x:v>
      </x:c>
      <x:c r="B32" s="25" t="str">
        <x:v>General interface</x:v>
      </x:c>
      <x:c r="C32" s="25" t="str">
        <x:v>Onboarding Milestone Timeline</x:v>
      </x:c>
      <x:c r="D32" s="27" t="str">
        <x:v>Garisan Masa Pencapaian Suai Kenal</x:v>
      </x:c>
      <x:c r="E32" s="25" t="str">
        <x:f>IF(D32="","Missing",IF(TRIM(D32)=TRIM(C32),"Review: same as English","Translated"))</x:f>
        <x:v>Translated</x:v>
      </x:c>
      <x:c r="F32" s="27" t="str">
        <x:v>入职里程碑时间线</x:v>
      </x:c>
      <x:c r="G32" s="25" t="str">
        <x:f>IF(F32="","Missing",IF(TRIM(F32)=TRIM(C32),"Review: same as English","Translated"))</x:f>
        <x:v>Translated</x:v>
      </x:c>
      <x:c r="H32" s="27" t="str"/>
    </x:row>
    <x:row r="33" ht="20" customHeight="1">
      <x:c r="A33" s="25" t="str">
        <x:v>milestone1Title</x:v>
      </x:c>
      <x:c r="B33" s="25" t="str">
        <x:v>General interface</x:v>
      </x:c>
      <x:c r="C33" s="25" t="str">
        <x:v>Welcome &amp; Profile Setup</x:v>
      </x:c>
      <x:c r="D33" s="27" t="str">
        <x:v>Selamat Datang &amp; Tetapan Profil</x:v>
      </x:c>
      <x:c r="E33" s="25" t="str">
        <x:f>IF(D33="","Missing",IF(TRIM(D33)=TRIM(C33),"Review: same as English","Translated"))</x:f>
        <x:v>Translated</x:v>
      </x:c>
      <x:c r="F33" s="27" t="str">
        <x:v>欢迎与个人资料设置</x:v>
      </x:c>
      <x:c r="G33" s="25" t="str">
        <x:f>IF(F33="","Missing",IF(TRIM(F33)=TRIM(C33),"Review: same as English","Translated"))</x:f>
        <x:v>Translated</x:v>
      </x:c>
      <x:c r="H33" s="27" t="str"/>
    </x:row>
    <x:row r="34" ht="20" customHeight="1">
      <x:c r="A34" s="25" t="str">
        <x:v>milestone1Desc</x:v>
      </x:c>
      <x:c r="B34" s="25" t="str">
        <x:v>General interface</x:v>
      </x:c>
      <x:c r="C34" s="25" t="str">
        <x:v>Basic information and photo uploaded.</x:v>
      </x:c>
      <x:c r="D34" s="27" t="str">
        <x:v>Maklumat asas dan foto telah dimuat naik.</x:v>
      </x:c>
      <x:c r="E34" s="25" t="str">
        <x:f>IF(D34="","Missing",IF(TRIM(D34)=TRIM(C34),"Review: same as English","Translated"))</x:f>
        <x:v>Translated</x:v>
      </x:c>
      <x:c r="F34" s="27" t="str">
        <x:v>基本信息及照片已成功上传。</x:v>
      </x:c>
      <x:c r="G34" s="25" t="str">
        <x:f>IF(F34="","Missing",IF(TRIM(F34)=TRIM(C34),"Review: same as English","Translated"))</x:f>
        <x:v>Translated</x:v>
      </x:c>
      <x:c r="H34" s="27" t="str"/>
    </x:row>
    <x:row r="35" ht="20" customHeight="1">
      <x:c r="A35" s="25" t="str">
        <x:v>milestone1Completed</x:v>
      </x:c>
      <x:c r="B35" s="25" t="str">
        <x:v>General interface</x:v>
      </x:c>
      <x:c r="C35" s="25" t="str">
        <x:v>Completed Oct 24</x:v>
      </x:c>
      <x:c r="D35" s="27" t="str">
        <x:v>Selesai pada 24 Okt</x:v>
      </x:c>
      <x:c r="E35" s="25" t="str">
        <x:f>IF(D35="","Missing",IF(TRIM(D35)=TRIM(C35),"Review: same as English","Translated"))</x:f>
        <x:v>Translated</x:v>
      </x:c>
      <x:c r="F35" s="27" t="str">
        <x:v>于 10月24日 完成</x:v>
      </x:c>
      <x:c r="G35" s="25" t="str">
        <x:f>IF(F35="","Missing",IF(TRIM(F35)=TRIM(C35),"Review: same as English","Translated"))</x:f>
        <x:v>Translated</x:v>
      </x:c>
      <x:c r="H35" s="27" t="str"/>
    </x:row>
    <x:row r="36" ht="20" customHeight="1">
      <x:c r="A36" s="25" t="str">
        <x:v>milestone2Title</x:v>
      </x:c>
      <x:c r="B36" s="25" t="str">
        <x:v>General interface</x:v>
      </x:c>
      <x:c r="C36" s="25" t="str">
        <x:v>Employee Handbook Review</x:v>
      </x:c>
      <x:c r="D36" s="27" t="str">
        <x:v>Semakan Buku Panduan Pekerja</x:v>
      </x:c>
      <x:c r="E36" s="25" t="str">
        <x:f>IF(D36="","Missing",IF(TRIM(D36)=TRIM(C36),"Review: same as English","Translated"))</x:f>
        <x:v>Translated</x:v>
      </x:c>
      <x:c r="F36" s="27" t="str">
        <x:v>员工手册审阅</x:v>
      </x:c>
      <x:c r="G36" s="25" t="str">
        <x:f>IF(F36="","Missing",IF(TRIM(F36)=TRIM(C36),"Review: same as English","Translated"))</x:f>
        <x:v>Translated</x:v>
      </x:c>
      <x:c r="H36" s="27" t="str"/>
    </x:row>
    <x:row r="37" ht="34" customHeight="1">
      <x:c r="A37" s="25" t="str">
        <x:v>milestone2Desc</x:v>
      </x:c>
      <x:c r="B37" s="25" t="str">
        <x:v>General interface</x:v>
      </x:c>
      <x:c r="C37" s="25" t="str">
        <x:v>Read through the company policies and pass the basic comprehension quiz.</x:v>
      </x:c>
      <x:c r="D37" s="27" t="str">
        <x:v>Baca dasar syarikat dan lulus kuiz kefahaman asas.</x:v>
      </x:c>
      <x:c r="E37" s="25" t="str">
        <x:f>IF(D37="","Missing",IF(TRIM(D37)=TRIM(C37),"Review: same as English","Translated"))</x:f>
        <x:v>Translated</x:v>
      </x:c>
      <x:c r="F37" s="27" t="str">
        <x:v>阅读公司各项政策并通关基础理解测试。</x:v>
      </x:c>
      <x:c r="G37" s="25" t="str">
        <x:f>IF(F37="","Missing",IF(TRIM(F37)=TRIM(C37),"Review: same as English","Translated"))</x:f>
        <x:v>Translated</x:v>
      </x:c>
      <x:c r="H37" s="27" t="str"/>
    </x:row>
    <x:row r="38" ht="20" customHeight="1">
      <x:c r="A38" s="25" t="str">
        <x:v>handbookProgress</x:v>
      </x:c>
      <x:c r="B38" s="25" t="str">
        <x:v>Handbook interface</x:v>
      </x:c>
      <x:c r="C38" s="25" t="str">
        <x:v>Handbook Progress</x:v>
      </x:c>
      <x:c r="D38" s="27" t="str">
        <x:v>Kemajuan Buku Panduan</x:v>
      </x:c>
      <x:c r="E38" s="25" t="str">
        <x:f>IF(D38="","Missing",IF(TRIM(D38)=TRIM(C38),"Review: same as English","Translated"))</x:f>
        <x:v>Translated</x:v>
      </x:c>
      <x:c r="F38" s="27" t="str">
        <x:v>手册阅读进度</x:v>
      </x:c>
      <x:c r="G38" s="25" t="str">
        <x:f>IF(F38="","Missing",IF(TRIM(F38)=TRIM(C38),"Review: same as English","Translated"))</x:f>
        <x:v>Translated</x:v>
      </x:c>
      <x:c r="H38" s="27" t="str"/>
    </x:row>
    <x:row r="39" ht="20" customHeight="1">
      <x:c r="A39" s="25" t="str">
        <x:v>sectionsRead</x:v>
      </x:c>
      <x:c r="B39" s="25" t="str">
        <x:v>General interface</x:v>
      </x:c>
      <x:c r="C39" s="25" t="str">
        <x:v>Sections Read</x:v>
      </x:c>
      <x:c r="D39" s="27" t="str">
        <x:v>Bahagian Dibaca</x:v>
      </x:c>
      <x:c r="E39" s="25" t="str">
        <x:f>IF(D39="","Missing",IF(TRIM(D39)=TRIM(C39),"Review: same as English","Translated"))</x:f>
        <x:v>Translated</x:v>
      </x:c>
      <x:c r="F39" s="27" t="str">
        <x:v>已读章节</x:v>
      </x:c>
      <x:c r="G39" s="25" t="str">
        <x:f>IF(F39="","Missing",IF(TRIM(F39)=TRIM(C39),"Review: same as English","Translated"))</x:f>
        <x:v>Translated</x:v>
      </x:c>
      <x:c r="H39" s="27" t="str"/>
    </x:row>
    <x:row r="40" ht="20" customHeight="1">
      <x:c r="A40" s="25" t="str">
        <x:v>continueReading</x:v>
      </x:c>
      <x:c r="B40" s="25" t="str">
        <x:v>General interface</x:v>
      </x:c>
      <x:c r="C40" s="25" t="str">
        <x:v>Continue Reading</x:v>
      </x:c>
      <x:c r="D40" s="27" t="str">
        <x:v>Teruskan Membaca</x:v>
      </x:c>
      <x:c r="E40" s="25" t="str">
        <x:f>IF(D40="","Missing",IF(TRIM(D40)=TRIM(C40),"Review: same as English","Translated"))</x:f>
        <x:v>Translated</x:v>
      </x:c>
      <x:c r="F40" s="27" t="str">
        <x:v>继续阅读</x:v>
      </x:c>
      <x:c r="G40" s="25" t="str">
        <x:f>IF(F40="","Missing",IF(TRIM(F40)=TRIM(C40),"Review: same as English","Translated"))</x:f>
        <x:v>Translated</x:v>
      </x:c>
      <x:c r="H40" s="27" t="str"/>
    </x:row>
    <x:row r="41" ht="20" customHeight="1">
      <x:c r="A41" s="25" t="str">
        <x:v>milestone3Title</x:v>
      </x:c>
      <x:c r="B41" s="25" t="str">
        <x:v>General interface</x:v>
      </x:c>
      <x:c r="C41" s="25" t="str">
        <x:v>Tax &amp; Payroll Documents</x:v>
      </x:c>
      <x:c r="D41" s="27" t="str">
        <x:v>Dokumen Cukai &amp; Penggajian</x:v>
      </x:c>
      <x:c r="E41" s="25" t="str">
        <x:f>IF(D41="","Missing",IF(TRIM(D41)=TRIM(C41),"Review: same as English","Translated"))</x:f>
        <x:v>Translated</x:v>
      </x:c>
      <x:c r="F41" s="27" t="str">
        <x:v>税务与薪酬文件</x:v>
      </x:c>
      <x:c r="G41" s="25" t="str">
        <x:f>IF(F41="","Missing",IF(TRIM(F41)=TRIM(C41),"Review: same as English","Translated"))</x:f>
        <x:v>Translated</x:v>
      </x:c>
      <x:c r="H41" s="27" t="str"/>
    </x:row>
    <x:row r="42" ht="34" customHeight="1">
      <x:c r="A42" s="25" t="str">
        <x:v>milestone3Desc</x:v>
      </x:c>
      <x:c r="B42" s="25" t="str">
        <x:v>General interface</x:v>
      </x:c>
      <x:c r="C42" s="25" t="str">
        <x:v>Submit necessary tax forms (CP22, EA) for payroll processing.</x:v>
      </x:c>
      <x:c r="D42" s="27" t="str">
        <x:v>Hantar borang cukai (CP22, EA) untuk pemprosesan gaji.</x:v>
      </x:c>
      <x:c r="E42" s="25" t="str">
        <x:f>IF(D42="","Missing",IF(TRIM(D42)=TRIM(C42),"Review: same as English","Translated"))</x:f>
        <x:v>Translated</x:v>
      </x:c>
      <x:c r="F42" s="27" t="str">
        <x:v>提交必要的税务表格（CP22、EA）以供薪资结算。</x:v>
      </x:c>
      <x:c r="G42" s="25" t="str">
        <x:f>IF(F42="","Missing",IF(TRIM(F42)=TRIM(C42),"Review: same as English","Translated"))</x:f>
        <x:v>Translated</x:v>
      </x:c>
      <x:c r="H42" s="27" t="str"/>
    </x:row>
    <x:row r="43" ht="20" customHeight="1">
      <x:c r="A43" s="25" t="str">
        <x:v>uploadTaxForms</x:v>
      </x:c>
      <x:c r="B43" s="25" t="str">
        <x:v>General interface</x:v>
      </x:c>
      <x:c r="C43" s="25" t="str">
        <x:v>Upload Tax Forms →</x:v>
      </x:c>
      <x:c r="D43" s="27" t="str">
        <x:v>Muat Naik Borang Cukai →</x:v>
      </x:c>
      <x:c r="E43" s="25" t="str">
        <x:f>IF(D43="","Missing",IF(TRIM(D43)=TRIM(C43),"Review: same as English","Translated"))</x:f>
        <x:v>Translated</x:v>
      </x:c>
      <x:c r="F43" s="27" t="str">
        <x:v>上传税务表格 →</x:v>
      </x:c>
      <x:c r="G43" s="25" t="str">
        <x:f>IF(F43="","Missing",IF(TRIM(F43)=TRIM(C43),"Review: same as English","Translated"))</x:f>
        <x:v>Translated</x:v>
      </x:c>
      <x:c r="H43" s="27" t="str"/>
    </x:row>
    <x:row r="44" ht="20" customHeight="1">
      <x:c r="A44" s="25" t="str">
        <x:v>milestone4Title</x:v>
      </x:c>
      <x:c r="B44" s="25" t="str">
        <x:v>General interface</x:v>
      </x:c>
      <x:c r="C44" s="25" t="str">
        <x:v>Final Sign-off</x:v>
      </x:c>
      <x:c r="D44" s="27" t="str">
        <x:v>Pengesahan Akhir</x:v>
      </x:c>
      <x:c r="E44" s="25" t="str">
        <x:f>IF(D44="","Missing",IF(TRIM(D44)=TRIM(C44),"Review: same as English","Translated"))</x:f>
        <x:v>Translated</x:v>
      </x:c>
      <x:c r="F44" s="27" t="str">
        <x:v>最终签署 confirmation</x:v>
      </x:c>
      <x:c r="G44" s="25" t="str">
        <x:f>IF(F44="","Missing",IF(TRIM(F44)=TRIM(C44),"Review: same as English","Translated"))</x:f>
        <x:v>Translated</x:v>
      </x:c>
      <x:c r="H44" s="27" t="str"/>
    </x:row>
    <x:row r="45" ht="20" customHeight="1">
      <x:c r="A45" s="25" t="str">
        <x:v>milestone4Desc</x:v>
      </x:c>
      <x:c r="B45" s="25" t="str">
        <x:v>General interface</x:v>
      </x:c>
      <x:c r="C45" s="25" t="str">
        <x:v>Acknowledge all policies with a digital e-signature.</x:v>
      </x:c>
      <x:c r="D45" s="27" t="str">
        <x:v>Sahkan semua dasar dengan tandatangan digital.</x:v>
      </x:c>
      <x:c r="E45" s="25" t="str">
        <x:f>IF(D45="","Missing",IF(TRIM(D45)=TRIM(C45),"Review: same as English","Translated"))</x:f>
        <x:v>Translated</x:v>
      </x:c>
      <x:c r="F45" s="27" t="str">
        <x:v>通过数字电子签名确认并签署所有政策条款。</x:v>
      </x:c>
      <x:c r="G45" s="25" t="str">
        <x:f>IF(F45="","Missing",IF(TRIM(F45)=TRIM(C45),"Review: same as English","Translated"))</x:f>
        <x:v>Translated</x:v>
      </x:c>
      <x:c r="H45" s="27" t="str"/>
    </x:row>
    <x:row r="46" ht="20" customHeight="1">
      <x:c r="A46" s="25" t="str">
        <x:v>initialsSigned</x:v>
      </x:c>
      <x:c r="B46" s="25" t="str">
        <x:v>General interface</x:v>
      </x:c>
      <x:c r="C46" s="25" t="str">
        <x:v>Initials Signed</x:v>
      </x:c>
      <x:c r="D46" s="27" t="str">
        <x:v>Tandatangan Ringkas</x:v>
      </x:c>
      <x:c r="E46" s="25" t="str">
        <x:f>IF(D46="","Missing",IF(TRIM(D46)=TRIM(C46),"Review: same as English","Translated"))</x:f>
        <x:v>Translated</x:v>
      </x:c>
      <x:c r="F46" s="27" t="str">
        <x:v>已小签次数</x:v>
      </x:c>
      <x:c r="G46" s="25" t="str">
        <x:f>IF(F46="","Missing",IF(TRIM(F46)=TRIM(C46),"Review: same as English","Translated"))</x:f>
        <x:v>Translated</x:v>
      </x:c>
      <x:c r="H46" s="27" t="str"/>
    </x:row>
    <x:row r="47" ht="20" customHeight="1">
      <x:c r="A47" s="25" t="str">
        <x:v>quizStatusTitle</x:v>
      </x:c>
      <x:c r="B47" s="25" t="str">
        <x:v>Quiz interface</x:v>
      </x:c>
      <x:c r="C47" s="25" t="str">
        <x:v>Compliance Quiz Status</x:v>
      </x:c>
      <x:c r="D47" s="27" t="str">
        <x:v>Status Kuiz Pematuhan</x:v>
      </x:c>
      <x:c r="E47" s="25" t="str">
        <x:f>IF(D47="","Missing",IF(TRIM(D47)=TRIM(C47),"Review: same as English","Translated"))</x:f>
        <x:v>Translated</x:v>
      </x:c>
      <x:c r="F47" s="27" t="str">
        <x:v>合规测试状态</x:v>
      </x:c>
      <x:c r="G47" s="25" t="str">
        <x:f>IF(F47="","Missing",IF(TRIM(F47)=TRIM(C47),"Review: same as English","Translated"))</x:f>
        <x:v>Translated</x:v>
      </x:c>
      <x:c r="H47" s="27" t="str"/>
    </x:row>
    <x:row r="48" ht="20" customHeight="1">
      <x:c r="A48" s="25" t="str">
        <x:v>quizPassed</x:v>
      </x:c>
      <x:c r="B48" s="25" t="str">
        <x:v>Quiz interface</x:v>
      </x:c>
      <x:c r="C48" s="25" t="str">
        <x:v>Passed:</x:v>
      </x:c>
      <x:c r="D48" s="27" t="str">
        <x:v>Lulus:</x:v>
      </x:c>
      <x:c r="E48" s="25" t="str">
        <x:f>IF(D48="","Missing",IF(TRIM(D48)=TRIM(C48),"Review: same as English","Translated"))</x:f>
        <x:v>Translated</x:v>
      </x:c>
      <x:c r="F48" s="27" t="str">
        <x:v>已通过：</x:v>
      </x:c>
      <x:c r="G48" s="25" t="str">
        <x:f>IF(F48="","Missing",IF(TRIM(F48)=TRIM(C48),"Review: same as English","Translated"))</x:f>
        <x:v>Translated</x:v>
      </x:c>
      <x:c r="H48" s="27" t="str"/>
    </x:row>
    <x:row r="49" ht="20" customHeight="1">
      <x:c r="A49" s="25" t="str">
        <x:v>quizPending</x:v>
      </x:c>
      <x:c r="B49" s="25" t="str">
        <x:v>Quiz interface</x:v>
      </x:c>
      <x:c r="C49" s="25" t="str">
        <x:v>Pending Completion</x:v>
      </x:c>
      <x:c r="D49" s="27" t="str">
        <x:v>Belum Selesai</x:v>
      </x:c>
      <x:c r="E49" s="25" t="str">
        <x:f>IF(D49="","Missing",IF(TRIM(D49)=TRIM(C49),"Review: same as English","Translated"))</x:f>
        <x:v>Translated</x:v>
      </x:c>
      <x:c r="F49" s="27" t="str">
        <x:v>待完成</x:v>
      </x:c>
      <x:c r="G49" s="25" t="str">
        <x:f>IF(F49="","Missing",IF(TRIM(F49)=TRIM(C49),"Review: same as English","Translated"))</x:f>
        <x:v>Translated</x:v>
      </x:c>
      <x:c r="H49" s="27" t="str"/>
    </x:row>
    <x:row r="50" ht="34" customHeight="1">
      <x:c r="A50" s="25" t="str">
        <x:v>quizDescText</x:v>
      </x:c>
      <x:c r="B50" s="25" t="str">
        <x:v>Quiz interface</x:v>
      </x:c>
      <x:c r="C50" s="25" t="str">
        <x:v>The 30-question compliance quiz tests understanding of ethics, gifts, and safety. Pass mark is 65% (Grade A).</x:v>
      </x:c>
      <x:c r="D50" s="27" t="str">
        <x:v>Kuiz pematuhan 30 soalan menguji kefahaman etika, hadiah, dan keselamatan. Markah lulus ialah 65% (Gred A).</x:v>
      </x:c>
      <x:c r="E50" s="25" t="str">
        <x:f>IF(D50="","Missing",IF(TRIM(D50)=TRIM(C50),"Review: same as English","Translated"))</x:f>
        <x:v>Translated</x:v>
      </x:c>
      <x:c r="F50" s="27" t="str">
        <x:v>包含30道题目的合规测试，考查对职业道德、礼品及安全政策的理解。合格分数为 65%（A 级）。</x:v>
      </x:c>
      <x:c r="G50" s="25" t="str">
        <x:f>IF(F50="","Missing",IF(TRIM(F50)=TRIM(C50),"Review: same as English","Translated"))</x:f>
        <x:v>Translated</x:v>
      </x:c>
      <x:c r="H50" s="27" t="str"/>
    </x:row>
    <x:row r="51" ht="20" customHeight="1">
      <x:c r="A51" s="25" t="str">
        <x:v>reviewQuiz</x:v>
      </x:c>
      <x:c r="B51" s="25" t="str">
        <x:v>Quiz interface</x:v>
      </x:c>
      <x:c r="C51" s="25" t="str">
        <x:v>Review Quiz Results</x:v>
      </x:c>
      <x:c r="D51" s="27" t="str">
        <x:v>Semak Keputusan Kuiz</x:v>
      </x:c>
      <x:c r="E51" s="25" t="str">
        <x:f>IF(D51="","Missing",IF(TRIM(D51)=TRIM(C51),"Review: same as English","Translated"))</x:f>
        <x:v>Translated</x:v>
      </x:c>
      <x:c r="F51" s="27" t="str">
        <x:v>查看测试结果</x:v>
      </x:c>
      <x:c r="G51" s="25" t="str">
        <x:f>IF(F51="","Missing",IF(TRIM(F51)=TRIM(C51),"Review: same as English","Translated"))</x:f>
        <x:v>Translated</x:v>
      </x:c>
      <x:c r="H51" s="27" t="str"/>
    </x:row>
    <x:row r="52" ht="20" customHeight="1">
      <x:c r="A52" s="25" t="str">
        <x:v>takeQuiz</x:v>
      </x:c>
      <x:c r="B52" s="25" t="str">
        <x:v>Quiz interface</x:v>
      </x:c>
      <x:c r="C52" s="25" t="str">
        <x:v>Take Compliance Quiz</x:v>
      </x:c>
      <x:c r="D52" s="27" t="str">
        <x:v>Ambil Kuiz Pematuhan</x:v>
      </x:c>
      <x:c r="E52" s="25" t="str">
        <x:f>IF(D52="","Missing",IF(TRIM(D52)=TRIM(C52),"Review: same as English","Translated"))</x:f>
        <x:v>Translated</x:v>
      </x:c>
      <x:c r="F52" s="27" t="str">
        <x:v>参加合规测试</x:v>
      </x:c>
      <x:c r="G52" s="25" t="str">
        <x:f>IF(F52="","Missing",IF(TRIM(F52)=TRIM(C52),"Review: same as English","Translated"))</x:f>
        <x:v>Translated</x:v>
      </x:c>
      <x:c r="H52" s="27" t="str"/>
    </x:row>
    <x:row r="53" ht="20" customHeight="1">
      <x:c r="A53" s="25" t="str">
        <x:v>finalSignatureTitle</x:v>
      </x:c>
      <x:c r="B53" s="25" t="str">
        <x:v>General interface</x:v>
      </x:c>
      <x:c r="C53" s="25" t="str">
        <x:v>Final Signature</x:v>
      </x:c>
      <x:c r="D53" s="27" t="str">
        <x:v>Tandatangan Akhir</x:v>
      </x:c>
      <x:c r="E53" s="25" t="str">
        <x:f>IF(D53="","Missing",IF(TRIM(D53)=TRIM(C53),"Review: same as English","Translated"))</x:f>
        <x:v>Translated</x:v>
      </x:c>
      <x:c r="F53" s="27" t="str">
        <x:v>最终签署</x:v>
      </x:c>
      <x:c r="G53" s="25" t="str">
        <x:f>IF(F53="","Missing",IF(TRIM(F53)=TRIM(C53),"Review: same as English","Translated"))</x:f>
        <x:v>Translated</x:v>
      </x:c>
      <x:c r="H53" s="27" t="str"/>
    </x:row>
    <x:row r="54" ht="20" customHeight="1">
      <x:c r="A54" s="25" t="str">
        <x:v>prereqNotice</x:v>
      </x:c>
      <x:c r="B54" s="25" t="str">
        <x:v>General interface</x:v>
      </x:c>
      <x:c r="C54" s="25" t="str">
        <x:v>Requires 100% prerequisite completion.</x:v>
      </x:c>
      <x:c r="D54" s="27" t="str">
        <x:v>Memerlukan 100% penyelesaian prasyarat.</x:v>
      </x:c>
      <x:c r="E54" s="25" t="str">
        <x:f>IF(D54="","Missing",IF(TRIM(D54)=TRIM(C54),"Review: same as English","Translated"))</x:f>
        <x:v>Translated</x:v>
      </x:c>
      <x:c r="F54" s="27" t="str">
        <x:v>需要完成 100% 前置条件。</x:v>
      </x:c>
      <x:c r="G54" s="25" t="str">
        <x:f>IF(F54="","Missing",IF(TRIM(F54)=TRIM(C54),"Review: same as English","Translated"))</x:f>
        <x:v>Translated</x:v>
      </x:c>
      <x:c r="H54" s="27" t="str"/>
    </x:row>
    <x:row r="55" ht="20" customHeight="1">
      <x:c r="A55" s="25" t="str">
        <x:v>legalEsign</x:v>
      </x:c>
      <x:c r="B55" s="25" t="str">
        <x:v>General interface</x:v>
      </x:c>
      <x:c r="C55" s="25" t="str">
        <x:v>Final legal e-signature</x:v>
      </x:c>
      <x:c r="D55" s="27" t="str">
        <x:v>Tandatangan digital rasmi akhir</x:v>
      </x:c>
      <x:c r="E55" s="25" t="str">
        <x:f>IF(D55="","Missing",IF(TRIM(D55)=TRIM(C55),"Review: same as English","Translated"))</x:f>
        <x:v>Translated</x:v>
      </x:c>
      <x:c r="F55" s="27" t="str">
        <x:v>最终法律效力电子签名</x:v>
      </x:c>
      <x:c r="G55" s="25" t="str">
        <x:f>IF(F55="","Missing",IF(TRIM(F55)=TRIM(C55),"Review: same as English","Translated"))</x:f>
        <x:v>Translated</x:v>
      </x:c>
      <x:c r="H55" s="27" t="str"/>
    </x:row>
    <x:row r="56" ht="20" customHeight="1">
      <x:c r="A56" s="25" t="str">
        <x:v>step4of4</x:v>
      </x:c>
      <x:c r="B56" s="25" t="str">
        <x:v>General interface</x:v>
      </x:c>
      <x:c r="C56" s="25" t="str">
        <x:v>Step 4 of 4</x:v>
      </x:c>
      <x:c r="D56" s="27" t="str">
        <x:v>Langkah 4 daripada 4</x:v>
      </x:c>
      <x:c r="E56" s="25" t="str">
        <x:f>IF(D56="","Missing",IF(TRIM(D56)=TRIM(C56),"Review: same as English","Translated"))</x:f>
        <x:v>Translated</x:v>
      </x:c>
      <x:c r="F56" s="27" t="str">
        <x:v>第 4 / 4 步</x:v>
      </x:c>
      <x:c r="G56" s="25" t="str">
        <x:f>IF(F56="","Missing",IF(TRIM(F56)=TRIM(C56),"Review: same as English","Translated"))</x:f>
        <x:v>Translated</x:v>
      </x:c>
      <x:c r="H56" s="27" t="str"/>
    </x:row>
    <x:row r="57" ht="20" customHeight="1">
      <x:c r="A57" s="25" t="str">
        <x:v>handbookHeaderTitle</x:v>
      </x:c>
      <x:c r="B57" s="25" t="str">
        <x:v>Handbook interface</x:v>
      </x:c>
      <x:c r="C57" s="25" t="str">
        <x:v>Company Policy Handbooks</x:v>
      </x:c>
      <x:c r="D57" s="27" t="str">
        <x:v>Buku Panduan Dasar Syarikat</x:v>
      </x:c>
      <x:c r="E57" s="25" t="str">
        <x:f>IF(D57="","Missing",IF(TRIM(D57)=TRIM(C57),"Review: same as English","Translated"))</x:f>
        <x:v>Translated</x:v>
      </x:c>
      <x:c r="F57" s="27" t="str">
        <x:v>公司政策与规章手册</x:v>
      </x:c>
      <x:c r="G57" s="25" t="str">
        <x:f>IF(F57="","Missing",IF(TRIM(F57)=TRIM(C57),"Review: same as English","Translated"))</x:f>
        <x:v>Translated</x:v>
      </x:c>
      <x:c r="H57" s="27" t="str"/>
    </x:row>
    <x:row r="58" ht="34" customHeight="1">
      <x:c r="A58" s="25" t="str">
        <x:v>handbookHeaderSubtitle</x:v>
      </x:c>
      <x:c r="B58" s="25" t="str">
        <x:v>Handbook interface</x:v>
      </x:c>
      <x:c r="C58" s="25" t="str">
        <x:v>Read and digitally acknowledge Red Point Sdn. Bhd. operational guidelines</x:v>
      </x:c>
      <x:c r="D58" s="27" t="str">
        <x:v>Baca dan sahkan secara digital garis panduan operasi Red Point Sdn. Bhd.</x:v>
      </x:c>
      <x:c r="E58" s="25" t="str">
        <x:f>IF(D58="","Missing",IF(TRIM(D58)=TRIM(C58),"Review: same as English","Translated"))</x:f>
        <x:v>Translated</x:v>
      </x:c>
      <x:c r="F58" s="27" t="str">
        <x:v>阅读并数字确认 Red Point Sdn. Bhd. 的各项运营与合规指南</x:v>
      </x:c>
      <x:c r="G58" s="25" t="str">
        <x:f>IF(F58="","Missing",IF(TRIM(F58)=TRIM(C58),"Review: same as English","Translated"))</x:f>
        <x:v>Translated</x:v>
      </x:c>
      <x:c r="H58" s="27" t="str"/>
    </x:row>
    <x:row r="59" ht="20" customHeight="1">
      <x:c r="A59" s="25" t="str">
        <x:v>filterAll</x:v>
      </x:c>
      <x:c r="B59" s="25" t="str">
        <x:v>General interface</x:v>
      </x:c>
      <x:c r="C59" s="25" t="str">
        <x:v>All Modules</x:v>
      </x:c>
      <x:c r="D59" s="27" t="str">
        <x:v>Semua Modul</x:v>
      </x:c>
      <x:c r="E59" s="25" t="str">
        <x:f>IF(D59="","Missing",IF(TRIM(D59)=TRIM(C59),"Review: same as English","Translated"))</x:f>
        <x:v>Translated</x:v>
      </x:c>
      <x:c r="F59" s="27" t="str">
        <x:v>所有模块</x:v>
      </x:c>
      <x:c r="G59" s="25" t="str">
        <x:f>IF(F59="","Missing",IF(TRIM(F59)=TRIM(C59),"Review: same as English","Translated"))</x:f>
        <x:v>Translated</x:v>
      </x:c>
      <x:c r="H59" s="27" t="str"/>
    </x:row>
    <x:row r="60" ht="20" customHeight="1">
      <x:c r="A60" s="25" t="str">
        <x:v>filterCompleted</x:v>
      </x:c>
      <x:c r="B60" s="25" t="str">
        <x:v>General interface</x:v>
      </x:c>
      <x:c r="C60" s="25" t="str">
        <x:v>Completed</x:v>
      </x:c>
      <x:c r="D60" s="27" t="str">
        <x:v>Selesai</x:v>
      </x:c>
      <x:c r="E60" s="25" t="str">
        <x:f>IF(D60="","Missing",IF(TRIM(D60)=TRIM(C60),"Review: same as English","Translated"))</x:f>
        <x:v>Translated</x:v>
      </x:c>
      <x:c r="F60" s="27" t="str">
        <x:v>已完成</x:v>
      </x:c>
      <x:c r="G60" s="25" t="str">
        <x:f>IF(F60="","Missing",IF(TRIM(F60)=TRIM(C60),"Review: same as English","Translated"))</x:f>
        <x:v>Translated</x:v>
      </x:c>
      <x:c r="H60" s="27" t="str"/>
    </x:row>
    <x:row r="61" ht="20" customHeight="1">
      <x:c r="A61" s="25" t="str">
        <x:v>filterInProgress</x:v>
      </x:c>
      <x:c r="B61" s="25" t="str">
        <x:v>General interface</x:v>
      </x:c>
      <x:c r="C61" s="25" t="str">
        <x:v>In Progress</x:v>
      </x:c>
      <x:c r="D61" s="27" t="str">
        <x:v>Dalam Proses</x:v>
      </x:c>
      <x:c r="E61" s="25" t="str">
        <x:f>IF(D61="","Missing",IF(TRIM(D61)=TRIM(C61),"Review: same as English","Translated"))</x:f>
        <x:v>Translated</x:v>
      </x:c>
      <x:c r="F61" s="27" t="str">
        <x:v>进行中</x:v>
      </x:c>
      <x:c r="G61" s="25" t="str">
        <x:f>IF(F61="","Missing",IF(TRIM(F61)=TRIM(C61),"Review: same as English","Translated"))</x:f>
        <x:v>Translated</x:v>
      </x:c>
      <x:c r="H61" s="27" t="str"/>
    </x:row>
    <x:row r="62" ht="20" customHeight="1">
      <x:c r="A62" s="25" t="str">
        <x:v>videoDuration</x:v>
      </x:c>
      <x:c r="B62" s="25" t="str">
        <x:v>General interface</x:v>
      </x:c>
      <x:c r="C62" s="25" t="str">
        <x:v>Video Duration:</x:v>
      </x:c>
      <x:c r="D62" s="27" t="str">
        <x:v>Masa Video:</x:v>
      </x:c>
      <x:c r="E62" s="25" t="str">
        <x:f>IF(D62="","Missing",IF(TRIM(D62)=TRIM(C62),"Review: same as English","Translated"))</x:f>
        <x:v>Translated</x:v>
      </x:c>
      <x:c r="F62" s="27" t="str">
        <x:v>视频时长：</x:v>
      </x:c>
      <x:c r="G62" s="25" t="str">
        <x:f>IF(F62="","Missing",IF(TRIM(F62)=TRIM(C62),"Review: same as English","Translated"))</x:f>
        <x:v>Translated</x:v>
      </x:c>
      <x:c r="H62" s="27" t="str"/>
    </x:row>
    <x:row r="63" ht="20" customHeight="1">
      <x:c r="A63" s="25" t="str">
        <x:v>sectionsLabel</x:v>
      </x:c>
      <x:c r="B63" s="25" t="str">
        <x:v>General interface</x:v>
      </x:c>
      <x:c r="C63" s="25" t="str">
        <x:v>Sections:</x:v>
      </x:c>
      <x:c r="D63" s="27" t="str">
        <x:v>Bahagian:</x:v>
      </x:c>
      <x:c r="E63" s="25" t="str">
        <x:f>IF(D63="","Missing",IF(TRIM(D63)=TRIM(C63),"Review: same as English","Translated"))</x:f>
        <x:v>Translated</x:v>
      </x:c>
      <x:c r="F63" s="27" t="str">
        <x:v>章节数：</x:v>
      </x:c>
      <x:c r="G63" s="25" t="str">
        <x:f>IF(F63="","Missing",IF(TRIM(F63)=TRIM(C63),"Review: same as English","Translated"))</x:f>
        <x:v>Translated</x:v>
      </x:c>
      <x:c r="H63" s="27" t="str"/>
    </x:row>
    <x:row r="64" ht="20" customHeight="1">
      <x:c r="A64" s="25" t="str">
        <x:v>keyTakeawayLabel</x:v>
      </x:c>
      <x:c r="B64" s="25" t="str">
        <x:v>General interface</x:v>
      </x:c>
      <x:c r="C64" s="25" t="str">
        <x:v>Key Takeaway:</x:v>
      </x:c>
      <x:c r="D64" s="27" t="str">
        <x:v>Rumusan Kunci:</x:v>
      </x:c>
      <x:c r="E64" s="25" t="str">
        <x:f>IF(D64="","Missing",IF(TRIM(D64)=TRIM(C64),"Review: same as English","Translated"))</x:f>
        <x:v>Translated</x:v>
      </x:c>
      <x:c r="F64" s="27" t="str">
        <x:v>核心要点：</x:v>
      </x:c>
      <x:c r="G64" s="25" t="str">
        <x:f>IF(F64="","Missing",IF(TRIM(F64)=TRIM(C64),"Review: same as English","Translated"))</x:f>
        <x:v>Translated</x:v>
      </x:c>
      <x:c r="H64" s="27" t="str"/>
    </x:row>
    <x:row r="65" ht="20" customHeight="1">
      <x:c r="A65" s="25" t="str">
        <x:v>signAcknowledgeBtn</x:v>
      </x:c>
      <x:c r="B65" s="25" t="str">
        <x:v>General interface</x:v>
      </x:c>
      <x:c r="C65" s="25" t="str">
        <x:v>Sign &amp; Acknowledge Module</x:v>
      </x:c>
      <x:c r="D65" s="27" t="str">
        <x:v>Tandatangan &amp; Sahkan Modul Ini</x:v>
      </x:c>
      <x:c r="E65" s="25" t="str">
        <x:f>IF(D65="","Missing",IF(TRIM(D65)=TRIM(C65),"Review: same as English","Translated"))</x:f>
        <x:v>Translated</x:v>
      </x:c>
      <x:c r="F65" s="27" t="str">
        <x:v>签署并确认本模块</x:v>
      </x:c>
      <x:c r="G65" s="25" t="str">
        <x:f>IF(F65="","Missing",IF(TRIM(F65)=TRIM(C65),"Review: same as English","Translated"))</x:f>
        <x:v>Translated</x:v>
      </x:c>
      <x:c r="H65" s="27" t="str"/>
    </x:row>
    <x:row r="66" ht="20" customHeight="1">
      <x:c r="A66" s="25" t="str">
        <x:v>moduleSignedBadge</x:v>
      </x:c>
      <x:c r="B66" s="25" t="str">
        <x:v>General interface</x:v>
      </x:c>
      <x:c r="C66" s="25" t="str">
        <x:v>Module Digitally Signed &amp; Verified</x:v>
      </x:c>
      <x:c r="D66" s="27" t="str">
        <x:v>Modul Telah Disahkan Secara Digital</x:v>
      </x:c>
      <x:c r="E66" s="25" t="str">
        <x:f>IF(D66="","Missing",IF(TRIM(D66)=TRIM(C66),"Review: same as English","Translated"))</x:f>
        <x:v>Translated</x:v>
      </x:c>
      <x:c r="F66" s="27" t="str">
        <x:v>本模块已通过数字电子签名确认</x:v>
      </x:c>
      <x:c r="G66" s="25" t="str">
        <x:f>IF(F66="","Missing",IF(TRIM(F66)=TRIM(C66),"Review: same as English","Translated"))</x:f>
        <x:v>Translated</x:v>
      </x:c>
      <x:c r="H66" s="27" t="str"/>
    </x:row>
    <x:row r="67" ht="20" customHeight="1">
      <x:c r="A67" s="25" t="str">
        <x:v>askAiAboutModule</x:v>
      </x:c>
      <x:c r="B67" s="25" t="str">
        <x:v>Handbook interface</x:v>
      </x:c>
      <x:c r="C67" s="25" t="str">
        <x:v>Ask AI Assistant About This Module</x:v>
      </x:c>
      <x:c r="D67" s="27" t="str">
        <x:v>Tanya Pembantu AI Mengenai Modul Ini</x:v>
      </x:c>
      <x:c r="E67" s="25" t="str">
        <x:f>IF(D67="","Missing",IF(TRIM(D67)=TRIM(C67),"Review: same as English","Translated"))</x:f>
        <x:v>Translated</x:v>
      </x:c>
      <x:c r="F67" s="27" t="str">
        <x:v>向 AI 助手咨询此模块</x:v>
      </x:c>
      <x:c r="G67" s="25" t="str">
        <x:f>IF(F67="","Missing",IF(TRIM(F67)=TRIM(C67),"Review: same as English","Translated"))</x:f>
        <x:v>Translated</x:v>
      </x:c>
      <x:c r="H67" s="27" t="str"/>
    </x:row>
    <x:row r="68" ht="20" customHeight="1">
      <x:c r="A68" s="25" t="str">
        <x:v>readingProgress</x:v>
      </x:c>
      <x:c r="B68" s="25" t="str">
        <x:v>General interface</x:v>
      </x:c>
      <x:c r="C68" s="25" t="str">
        <x:v>Reading Progress</x:v>
      </x:c>
      <x:c r="D68" s="27" t="str">
        <x:v>Kemajuan Membaca</x:v>
      </x:c>
      <x:c r="E68" s="25" t="str">
        <x:f>IF(D68="","Missing",IF(TRIM(D68)=TRIM(C68),"Review: same as English","Translated"))</x:f>
        <x:v>Translated</x:v>
      </x:c>
      <x:c r="F68" s="27" t="str">
        <x:v>本章阅读进度</x:v>
      </x:c>
      <x:c r="G68" s="25" t="str">
        <x:f>IF(F68="","Missing",IF(TRIM(F68)=TRIM(C68),"Review: same as English","Translated"))</x:f>
        <x:v>Translated</x:v>
      </x:c>
      <x:c r="H68" s="27" t="str"/>
    </x:row>
    <x:row r="69" ht="20" customHeight="1">
      <x:c r="A69" s="25" t="str">
        <x:v>quizTitle</x:v>
      </x:c>
      <x:c r="B69" s="25" t="str">
        <x:v>Quiz interface</x:v>
      </x:c>
      <x:c r="C69" s="25" t="str">
        <x:v>Compliance &amp; Handbook Quiz</x:v>
      </x:c>
      <x:c r="D69" s="27" t="str">
        <x:v>Kuiz Pematuhan &amp; Buku Panduan</x:v>
      </x:c>
      <x:c r="E69" s="25" t="str">
        <x:f>IF(D69="","Missing",IF(TRIM(D69)=TRIM(C69),"Review: same as English","Translated"))</x:f>
        <x:v>Translated</x:v>
      </x:c>
      <x:c r="F69" s="27" t="str">
        <x:v>合规与手册在线测试</x:v>
      </x:c>
      <x:c r="G69" s="25" t="str">
        <x:f>IF(F69="","Missing",IF(TRIM(F69)=TRIM(C69),"Review: same as English","Translated"))</x:f>
        <x:v>Translated</x:v>
      </x:c>
      <x:c r="H69" s="27" t="str"/>
    </x:row>
    <x:row r="70" ht="34" customHeight="1">
      <x:c r="A70" s="25" t="str">
        <x:v>quizSubtitle</x:v>
      </x:c>
      <x:c r="B70" s="25" t="str">
        <x:v>Quiz interface</x:v>
      </x:c>
      <x:c r="C70" s="25" t="str">
        <x:v>Answer the following questions to verify your understanding of Red Point policies and ethics.</x:v>
      </x:c>
      <x:c r="D70" s="27" t="str">
        <x:v>Jawab soalan berikut untuk mengesahkan kefahaman anda mengenai dasar dan etika Red Point.</x:v>
      </x:c>
      <x:c r="E70" s="25" t="str">
        <x:f>IF(D70="","Missing",IF(TRIM(D70)=TRIM(C70),"Review: same as English","Translated"))</x:f>
        <x:v>Translated</x:v>
      </x:c>
      <x:c r="F70" s="27" t="str">
        <x:v>请回答以下问题，以检验您对 Red Point 政策与道德规范的理解。</x:v>
      </x:c>
      <x:c r="G70" s="25" t="str">
        <x:f>IF(F70="","Missing",IF(TRIM(F70)=TRIM(C70),"Review: same as English","Translated"))</x:f>
        <x:v>Translated</x:v>
      </x:c>
      <x:c r="H70" s="27" t="str"/>
    </x:row>
    <x:row r="71" ht="20" customHeight="1">
      <x:c r="A71" s="25" t="str">
        <x:v>questionCounter</x:v>
      </x:c>
      <x:c r="B71" s="25" t="str">
        <x:v>General interface</x:v>
      </x:c>
      <x:c r="C71" s="25" t="str">
        <x:v>Question</x:v>
      </x:c>
      <x:c r="D71" s="27" t="str">
        <x:v>Soalan</x:v>
      </x:c>
      <x:c r="E71" s="25" t="str">
        <x:f>IF(D71="","Missing",IF(TRIM(D71)=TRIM(C71),"Review: same as English","Translated"))</x:f>
        <x:v>Translated</x:v>
      </x:c>
      <x:c r="F71" s="27" t="str">
        <x:v>题目</x:v>
      </x:c>
      <x:c r="G71" s="25" t="str">
        <x:f>IF(F71="","Missing",IF(TRIM(F71)=TRIM(C71),"Review: same as English","Translated"))</x:f>
        <x:v>Translated</x:v>
      </x:c>
      <x:c r="H71" s="27" t="str"/>
    </x:row>
    <x:row r="72" ht="20" customHeight="1">
      <x:c r="A72" s="25" t="str">
        <x:v>yourScore</x:v>
      </x:c>
      <x:c r="B72" s="25" t="str">
        <x:v>General interface</x:v>
      </x:c>
      <x:c r="C72" s="25" t="str">
        <x:v>Your Score:</x:v>
      </x:c>
      <x:c r="D72" s="27" t="str">
        <x:v>Markah Anda:</x:v>
      </x:c>
      <x:c r="E72" s="25" t="str">
        <x:f>IF(D72="","Missing",IF(TRIM(D72)=TRIM(C72),"Review: same as English","Translated"))</x:f>
        <x:v>Translated</x:v>
      </x:c>
      <x:c r="F72" s="27" t="str">
        <x:v>您的得分：</x:v>
      </x:c>
      <x:c r="G72" s="25" t="str">
        <x:f>IF(F72="","Missing",IF(TRIM(F72)=TRIM(C72),"Review: same as English","Translated"))</x:f>
        <x:v>Translated</x:v>
      </x:c>
      <x:c r="H72" s="27" t="str"/>
    </x:row>
    <x:row r="73" ht="20" customHeight="1">
      <x:c r="A73" s="25" t="str">
        <x:v>passedBadge</x:v>
      </x:c>
      <x:c r="B73" s="25" t="str">
        <x:v>General interface</x:v>
      </x:c>
      <x:c r="C73" s="25" t="str">
        <x:v>PASSED</x:v>
      </x:c>
      <x:c r="D73" s="27" t="str">
        <x:v>LULUS</x:v>
      </x:c>
      <x:c r="E73" s="25" t="str">
        <x:f>IF(D73="","Missing",IF(TRIM(D73)=TRIM(C73),"Review: same as English","Translated"))</x:f>
        <x:v>Translated</x:v>
      </x:c>
      <x:c r="F73" s="27" t="str">
        <x:v>已通过</x:v>
      </x:c>
      <x:c r="G73" s="25" t="str">
        <x:f>IF(F73="","Missing",IF(TRIM(F73)=TRIM(C73),"Review: same as English","Translated"))</x:f>
        <x:v>Translated</x:v>
      </x:c>
      <x:c r="H73" s="27" t="str"/>
    </x:row>
    <x:row r="74" ht="20" customHeight="1">
      <x:c r="A74" s="25" t="str">
        <x:v>failedBadge</x:v>
      </x:c>
      <x:c r="B74" s="25" t="str">
        <x:v>General interface</x:v>
      </x:c>
      <x:c r="C74" s="25" t="str">
        <x:v>NOT PASSED</x:v>
      </x:c>
      <x:c r="D74" s="27" t="str">
        <x:v>TIDAK LULUS</x:v>
      </x:c>
      <x:c r="E74" s="25" t="str">
        <x:f>IF(D74="","Missing",IF(TRIM(D74)=TRIM(C74),"Review: same as English","Translated"))</x:f>
        <x:v>Translated</x:v>
      </x:c>
      <x:c r="F74" s="27" t="str">
        <x:v>未通过</x:v>
      </x:c>
      <x:c r="G74" s="25" t="str">
        <x:f>IF(F74="","Missing",IF(TRIM(F74)=TRIM(C74),"Review: same as English","Translated"))</x:f>
        <x:v>Translated</x:v>
      </x:c>
      <x:c r="H74" s="27" t="str"/>
    </x:row>
    <x:row r="75" ht="20" customHeight="1">
      <x:c r="A75" s="25" t="str">
        <x:v>gradeLabel</x:v>
      </x:c>
      <x:c r="B75" s="25" t="str">
        <x:v>General interface</x:v>
      </x:c>
      <x:c r="C75" s="25" t="str">
        <x:v>Grade:</x:v>
      </x:c>
      <x:c r="D75" s="27" t="str">
        <x:v>Gred:</x:v>
      </x:c>
      <x:c r="E75" s="25" t="str">
        <x:f>IF(D75="","Missing",IF(TRIM(D75)=TRIM(C75),"Review: same as English","Translated"))</x:f>
        <x:v>Translated</x:v>
      </x:c>
      <x:c r="F75" s="27" t="str">
        <x:v>等级：</x:v>
      </x:c>
      <x:c r="G75" s="25" t="str">
        <x:f>IF(F75="","Missing",IF(TRIM(F75)=TRIM(C75),"Review: same as English","Translated"))</x:f>
        <x:v>Translated</x:v>
      </x:c>
      <x:c r="H75" s="27" t="str"/>
    </x:row>
    <x:row r="76" ht="20" customHeight="1">
      <x:c r="A76" s="25" t="str">
        <x:v>submitQuiz</x:v>
      </x:c>
      <x:c r="B76" s="25" t="str">
        <x:v>Quiz interface</x:v>
      </x:c>
      <x:c r="C76" s="25" t="str">
        <x:v>Submit Quiz Answers</x:v>
      </x:c>
      <x:c r="D76" s="27" t="str">
        <x:v>Hantar Jawapan Kuiz</x:v>
      </x:c>
      <x:c r="E76" s="25" t="str">
        <x:f>IF(D76="","Missing",IF(TRIM(D76)=TRIM(C76),"Review: same as English","Translated"))</x:f>
        <x:v>Translated</x:v>
      </x:c>
      <x:c r="F76" s="27" t="str">
        <x:v>提交测试答案</x:v>
      </x:c>
      <x:c r="G76" s="25" t="str">
        <x:f>IF(F76="","Missing",IF(TRIM(F76)=TRIM(C76),"Review: same as English","Translated"))</x:f>
        <x:v>Translated</x:v>
      </x:c>
      <x:c r="H76" s="27" t="str"/>
    </x:row>
    <x:row r="77" ht="20" customHeight="1">
      <x:c r="A77" s="25" t="str">
        <x:v>retakeQuiz</x:v>
      </x:c>
      <x:c r="B77" s="25" t="str">
        <x:v>Quiz interface</x:v>
      </x:c>
      <x:c r="C77" s="25" t="str">
        <x:v>Retake Quiz</x:v>
      </x:c>
      <x:c r="D77" s="27" t="str">
        <x:v>Cuba Lagi Kuiz</x:v>
      </x:c>
      <x:c r="E77" s="25" t="str">
        <x:f>IF(D77="","Missing",IF(TRIM(D77)=TRIM(C77),"Review: same as English","Translated"))</x:f>
        <x:v>Translated</x:v>
      </x:c>
      <x:c r="F77" s="27" t="str">
        <x:v>重新测试</x:v>
      </x:c>
      <x:c r="G77" s="25" t="str">
        <x:f>IF(F77="","Missing",IF(TRIM(F77)=TRIM(C77),"Review: same as English","Translated"))</x:f>
        <x:v>Translated</x:v>
      </x:c>
      <x:c r="H77" s="27" t="str"/>
    </x:row>
    <x:row r="78" ht="34" customHeight="1">
      <x:c r="A78" s="25" t="str">
        <x:v>passCriteriaNote</x:v>
      </x:c>
      <x:c r="B78" s="25" t="str">
        <x:v>General interface</x:v>
      </x:c>
      <x:c r="C78" s="25" t="str">
        <x:v>Pass mark is 65% (Grade A). Passing is required before final onboarding sign-off.</x:v>
      </x:c>
      <x:c r="D78" s="27" t="str">
        <x:v>Markah lulus ialah 65% (Gred A). Lulus diperlukan sebelum kelulusan akhir suai kenal.</x:v>
      </x:c>
      <x:c r="E78" s="25" t="str">
        <x:f>IF(D78="","Missing",IF(TRIM(D78)=TRIM(C78),"Review: same as English","Translated"))</x:f>
        <x:v>Translated</x:v>
      </x:c>
      <x:c r="F78" s="27" t="str">
        <x:v>合格分数为 65%（A 级）。入职最终批准前必须通过测试。</x:v>
      </x:c>
      <x:c r="G78" s="25" t="str">
        <x:f>IF(F78="","Missing",IF(TRIM(F78)=TRIM(C78),"Review: same as English","Translated"))</x:f>
        <x:v>Translated</x:v>
      </x:c>
      <x:c r="H78" s="27" t="str"/>
    </x:row>
    <x:row r="79" ht="20" customHeight="1">
      <x:c r="A79" s="25" t="str">
        <x:v>categoryFilter</x:v>
      </x:c>
      <x:c r="B79" s="25" t="str">
        <x:v>General interface</x:v>
      </x:c>
      <x:c r="C79" s="25" t="str">
        <x:v>Category:</x:v>
      </x:c>
      <x:c r="D79" s="27" t="str">
        <x:v>Kategori:</x:v>
      </x:c>
      <x:c r="E79" s="25" t="str">
        <x:f>IF(D79="","Missing",IF(TRIM(D79)=TRIM(C79),"Review: same as English","Translated"))</x:f>
        <x:v>Translated</x:v>
      </x:c>
      <x:c r="F79" s="27" t="str">
        <x:v>类别：</x:v>
      </x:c>
      <x:c r="G79" s="25" t="str">
        <x:f>IF(F79="","Missing",IF(TRIM(F79)=TRIM(C79),"Review: same as English","Translated"))</x:f>
        <x:v>Translated</x:v>
      </x:c>
      <x:c r="H79" s="27" t="str"/>
    </x:row>
    <x:row r="80" ht="20" customHeight="1">
      <x:c r="A80" s="25" t="str">
        <x:v>hrHeaderTitle</x:v>
      </x:c>
      <x:c r="B80" s="25" t="str">
        <x:v>HR interface</x:v>
      </x:c>
      <x:c r="C80" s="25" t="str">
        <x:v>HR Analytics &amp; Roster Management</x:v>
      </x:c>
      <x:c r="D80" s="27" t="str">
        <x:v>Analitik HR &amp; Pengurusan Senarai Pekerja</x:v>
      </x:c>
      <x:c r="E80" s="25" t="str">
        <x:f>IF(D80="","Missing",IF(TRIM(D80)=TRIM(C80),"Review: same as English","Translated"))</x:f>
        <x:v>Translated</x:v>
      </x:c>
      <x:c r="F80" s="27" t="str">
        <x:v>HR 分析与员工名册管理</x:v>
      </x:c>
      <x:c r="G80" s="25" t="str">
        <x:f>IF(F80="","Missing",IF(TRIM(F80)=TRIM(C80),"Review: same as English","Translated"))</x:f>
        <x:v>Translated</x:v>
      </x:c>
      <x:c r="H80" s="27" t="str"/>
    </x:row>
    <x:row r="81" ht="34" customHeight="1">
      <x:c r="A81" s="25" t="str">
        <x:v>hrHeaderSubtitle</x:v>
      </x:c>
      <x:c r="B81" s="25" t="str">
        <x:v>HR interface</x:v>
      </x:c>
      <x:c r="C81" s="25" t="str">
        <x:v>Monitor onboarding completion, compliance metrics, and employee progress across departments.</x:v>
      </x:c>
      <x:c r="D81" s="27" t="str">
        <x:v>Pantau penyelesaian suai kenal, metrik pematuhan, dan kemajuan pekerja mengikut jabatan.</x:v>
      </x:c>
      <x:c r="E81" s="25" t="str">
        <x:f>IF(D81="","Missing",IF(TRIM(D81)=TRIM(C81),"Review: same as English","Translated"))</x:f>
        <x:v>Translated</x:v>
      </x:c>
      <x:c r="F81" s="27" t="str">
        <x:v>监控各部门员工入职完成率、合规指标及学习进度。</x:v>
      </x:c>
      <x:c r="G81" s="25" t="str">
        <x:f>IF(F81="","Missing",IF(TRIM(F81)=TRIM(C81),"Review: same as English","Translated"))</x:f>
        <x:v>Translated</x:v>
      </x:c>
      <x:c r="H81" s="27" t="str"/>
    </x:row>
    <x:row r="82" ht="20" customHeight="1">
      <x:c r="A82" s="25" t="str">
        <x:v>statTotalEmp</x:v>
      </x:c>
      <x:c r="B82" s="25" t="str">
        <x:v>General interface</x:v>
      </x:c>
      <x:c r="C82" s="25" t="str">
        <x:v>Total Employees</x:v>
      </x:c>
      <x:c r="D82" s="27" t="str">
        <x:v>Jumlah Pekerja</x:v>
      </x:c>
      <x:c r="E82" s="25" t="str">
        <x:f>IF(D82="","Missing",IF(TRIM(D82)=TRIM(C82),"Review: same as English","Translated"))</x:f>
        <x:v>Translated</x:v>
      </x:c>
      <x:c r="F82" s="27" t="str">
        <x:v>员工总数</x:v>
      </x:c>
      <x:c r="G82" s="25" t="str">
        <x:f>IF(F82="","Missing",IF(TRIM(F82)=TRIM(C82),"Review: same as English","Translated"))</x:f>
        <x:v>Translated</x:v>
      </x:c>
      <x:c r="H82" s="27" t="str"/>
    </x:row>
    <x:row r="83" ht="20" customHeight="1">
      <x:c r="A83" s="25" t="str">
        <x:v>statCompleted</x:v>
      </x:c>
      <x:c r="B83" s="25" t="str">
        <x:v>General interface</x:v>
      </x:c>
      <x:c r="C83" s="25" t="str">
        <x:v>Onboarding Completed</x:v>
      </x:c>
      <x:c r="D83" s="27" t="str">
        <x:v>Suai Kenal Selesai</x:v>
      </x:c>
      <x:c r="E83" s="25" t="str">
        <x:f>IF(D83="","Missing",IF(TRIM(D83)=TRIM(C83),"Review: same as English","Translated"))</x:f>
        <x:v>Translated</x:v>
      </x:c>
      <x:c r="F83" s="27" t="str">
        <x:v>已完成入职</x:v>
      </x:c>
      <x:c r="G83" s="25" t="str">
        <x:f>IF(F83="","Missing",IF(TRIM(F83)=TRIM(C83),"Review: same as English","Translated"))</x:f>
        <x:v>Translated</x:v>
      </x:c>
      <x:c r="H83" s="27" t="str"/>
    </x:row>
    <x:row r="84" ht="20" customHeight="1">
      <x:c r="A84" s="25" t="str">
        <x:v>statInProgress</x:v>
      </x:c>
      <x:c r="B84" s="25" t="str">
        <x:v>General interface</x:v>
      </x:c>
      <x:c r="C84" s="25" t="str">
        <x:v>In Progress</x:v>
      </x:c>
      <x:c r="D84" s="27" t="str">
        <x:v>Dalam Proses</x:v>
      </x:c>
      <x:c r="E84" s="25" t="str">
        <x:f>IF(D84="","Missing",IF(TRIM(D84)=TRIM(C84),"Review: same as English","Translated"))</x:f>
        <x:v>Translated</x:v>
      </x:c>
      <x:c r="F84" s="27" t="str">
        <x:v>进行中人数</x:v>
      </x:c>
      <x:c r="G84" s="25" t="str">
        <x:f>IF(F84="","Missing",IF(TRIM(F84)=TRIM(C84),"Review: same as English","Translated"))</x:f>
        <x:v>Translated</x:v>
      </x:c>
      <x:c r="H84" s="27" t="str"/>
    </x:row>
    <x:row r="85" ht="20" customHeight="1">
      <x:c r="A85" s="25" t="str">
        <x:v>statOverdue</x:v>
      </x:c>
      <x:c r="B85" s="25" t="str">
        <x:v>General interface</x:v>
      </x:c>
      <x:c r="C85" s="25" t="str">
        <x:v>Overdue / At Risk</x:v>
      </x:c>
      <x:c r="D85" s="27" t="str">
        <x:v>Lewat / Berisiko</x:v>
      </x:c>
      <x:c r="E85" s="25" t="str">
        <x:f>IF(D85="","Missing",IF(TRIM(D85)=TRIM(C85),"Review: same as English","Translated"))</x:f>
        <x:v>Translated</x:v>
      </x:c>
      <x:c r="F85" s="27" t="str">
        <x:v>逾期 / 预警</x:v>
      </x:c>
      <x:c r="G85" s="25" t="str">
        <x:f>IF(F85="","Missing",IF(TRIM(F85)=TRIM(C85),"Review: same as English","Translated"))</x:f>
        <x:v>Translated</x:v>
      </x:c>
      <x:c r="H85" s="27" t="str"/>
    </x:row>
    <x:row r="86" ht="20" customHeight="1">
      <x:c r="A86" s="25" t="str">
        <x:v>searchRosterPlaceholder</x:v>
      </x:c>
      <x:c r="B86" s="25" t="str">
        <x:v>General interface</x:v>
      </x:c>
      <x:c r="C86" s="25" t="str">
        <x:v>Search employee name or email...</x:v>
      </x:c>
      <x:c r="D86" s="27" t="str">
        <x:v>Cari nama atau emel pekerja...</x:v>
      </x:c>
      <x:c r="E86" s="25" t="str">
        <x:f>IF(D86="","Missing",IF(TRIM(D86)=TRIM(C86),"Review: same as English","Translated"))</x:f>
        <x:v>Translated</x:v>
      </x:c>
      <x:c r="F86" s="27" t="str">
        <x:v>按员工姓名或邮箱搜索...</x:v>
      </x:c>
      <x:c r="G86" s="25" t="str">
        <x:f>IF(F86="","Missing",IF(TRIM(F86)=TRIM(C86),"Review: same as English","Translated"))</x:f>
        <x:v>Translated</x:v>
      </x:c>
      <x:c r="H86" s="27" t="str"/>
    </x:row>
    <x:row r="87" ht="20" customHeight="1">
      <x:c r="A87" s="25" t="str">
        <x:v>colEmployee</x:v>
      </x:c>
      <x:c r="B87" s="25" t="str">
        <x:v>General interface</x:v>
      </x:c>
      <x:c r="C87" s="25" t="str">
        <x:v>Employee</x:v>
      </x:c>
      <x:c r="D87" s="27" t="str">
        <x:v>Pekerja</x:v>
      </x:c>
      <x:c r="E87" s="25" t="str">
        <x:f>IF(D87="","Missing",IF(TRIM(D87)=TRIM(C87),"Review: same as English","Translated"))</x:f>
        <x:v>Translated</x:v>
      </x:c>
      <x:c r="F87" s="27" t="str">
        <x:v>员工</x:v>
      </x:c>
      <x:c r="G87" s="25" t="str">
        <x:f>IF(F87="","Missing",IF(TRIM(F87)=TRIM(C87),"Review: same as English","Translated"))</x:f>
        <x:v>Translated</x:v>
      </x:c>
      <x:c r="H87" s="27" t="str"/>
    </x:row>
    <x:row r="88" ht="20" customHeight="1">
      <x:c r="A88" s="25" t="str">
        <x:v>colDept</x:v>
      </x:c>
      <x:c r="B88" s="25" t="str">
        <x:v>General interface</x:v>
      </x:c>
      <x:c r="C88" s="25" t="str">
        <x:v>Department</x:v>
      </x:c>
      <x:c r="D88" s="27" t="str">
        <x:v>Jabatan</x:v>
      </x:c>
      <x:c r="E88" s="25" t="str">
        <x:f>IF(D88="","Missing",IF(TRIM(D88)=TRIM(C88),"Review: same as English","Translated"))</x:f>
        <x:v>Translated</x:v>
      </x:c>
      <x:c r="F88" s="27" t="str">
        <x:v>部门</x:v>
      </x:c>
      <x:c r="G88" s="25" t="str">
        <x:f>IF(F88="","Missing",IF(TRIM(F88)=TRIM(C88),"Review: same as English","Translated"))</x:f>
        <x:v>Translated</x:v>
      </x:c>
      <x:c r="H88" s="27" t="str"/>
    </x:row>
    <x:row r="89" ht="20" customHeight="1">
      <x:c r="A89" s="25" t="str">
        <x:v>colProgress</x:v>
      </x:c>
      <x:c r="B89" s="25" t="str">
        <x:v>General interface</x:v>
      </x:c>
      <x:c r="C89" s="25" t="str">
        <x:v>Progress</x:v>
      </x:c>
      <x:c r="D89" s="27" t="str">
        <x:v>Kemajuan</x:v>
      </x:c>
      <x:c r="E89" s="25" t="str">
        <x:f>IF(D89="","Missing",IF(TRIM(D89)=TRIM(C89),"Review: same as English","Translated"))</x:f>
        <x:v>Translated</x:v>
      </x:c>
      <x:c r="F89" s="27" t="str">
        <x:v>完成进度</x:v>
      </x:c>
      <x:c r="G89" s="25" t="str">
        <x:f>IF(F89="","Missing",IF(TRIM(F89)=TRIM(C89),"Review: same as English","Translated"))</x:f>
        <x:v>Translated</x:v>
      </x:c>
      <x:c r="H89" s="27" t="str"/>
    </x:row>
    <x:row r="90" ht="20" customHeight="1">
      <x:c r="A90" s="25" t="str">
        <x:v>colQuizScore</x:v>
      </x:c>
      <x:c r="B90" s="25" t="str">
        <x:v>Quiz interface</x:v>
      </x:c>
      <x:c r="C90" s="25" t="str">
        <x:v>Quiz Score</x:v>
      </x:c>
      <x:c r="D90" s="27" t="str">
        <x:v>Markah Kuiz</x:v>
      </x:c>
      <x:c r="E90" s="25" t="str">
        <x:f>IF(D90="","Missing",IF(TRIM(D90)=TRIM(C90),"Review: same as English","Translated"))</x:f>
        <x:v>Translated</x:v>
      </x:c>
      <x:c r="F90" s="27" t="str">
        <x:v>测试成绩</x:v>
      </x:c>
      <x:c r="G90" s="25" t="str">
        <x:f>IF(F90="","Missing",IF(TRIM(F90)=TRIM(C90),"Review: same as English","Translated"))</x:f>
        <x:v>Translated</x:v>
      </x:c>
      <x:c r="H90" s="27" t="str"/>
    </x:row>
    <x:row r="91" ht="20" customHeight="1">
      <x:c r="A91" s="25" t="str">
        <x:v>colDaysLeft</x:v>
      </x:c>
      <x:c r="B91" s="25" t="str">
        <x:v>General interface</x:v>
      </x:c>
      <x:c r="C91" s="25" t="str">
        <x:v>Days Remaining</x:v>
      </x:c>
      <x:c r="D91" s="27" t="str">
        <x:v>Baki Hari</x:v>
      </x:c>
      <x:c r="E91" s="25" t="str">
        <x:f>IF(D91="","Missing",IF(TRIM(D91)=TRIM(C91),"Review: same as English","Translated"))</x:f>
        <x:v>Translated</x:v>
      </x:c>
      <x:c r="F91" s="27" t="str">
        <x:v>剩余天数</x:v>
      </x:c>
      <x:c r="G91" s="25" t="str">
        <x:f>IF(F91="","Missing",IF(TRIM(F91)=TRIM(C91),"Review: same as English","Translated"))</x:f>
        <x:v>Translated</x:v>
      </x:c>
      <x:c r="H91" s="27" t="str"/>
    </x:row>
    <x:row r="92" ht="20" customHeight="1">
      <x:c r="A92" s="25" t="str">
        <x:v>colStatus</x:v>
      </x:c>
      <x:c r="B92" s="25" t="str">
        <x:v>General interface</x:v>
      </x:c>
      <x:c r="C92" s="25" t="str">
        <x:v>Status</x:v>
      </x:c>
      <x:c r="D92" s="27" t="str">
        <x:v>Status</x:v>
      </x:c>
      <x:c r="E92" s="25" t="str">
        <x:f>IF(D92="","Missing",IF(TRIM(D92)=TRIM(C92),"Review: same as English","Translated"))</x:f>
        <x:v>Review: same as English</x:v>
      </x:c>
      <x:c r="F92" s="27" t="str">
        <x:v>状态</x:v>
      </x:c>
      <x:c r="G92" s="25" t="str">
        <x:f>IF(F92="","Missing",IF(TRIM(F92)=TRIM(C92),"Review: same as English","Translated"))</x:f>
        <x:v>Translated</x:v>
      </x:c>
      <x:c r="H92" s="27" t="str"/>
    </x:row>
    <x:row r="93" ht="20" customHeight="1">
      <x:c r="A93" s="25" t="str">
        <x:v>colAction</x:v>
      </x:c>
      <x:c r="B93" s="25" t="str">
        <x:v>General interface</x:v>
      </x:c>
      <x:c r="C93" s="25" t="str">
        <x:v>Action</x:v>
      </x:c>
      <x:c r="D93" s="27" t="str">
        <x:v>Tindakan</x:v>
      </x:c>
      <x:c r="E93" s="25" t="str">
        <x:f>IF(D93="","Missing",IF(TRIM(D93)=TRIM(C93),"Review: same as English","Translated"))</x:f>
        <x:v>Translated</x:v>
      </x:c>
      <x:c r="F93" s="27" t="str">
        <x:v>操作</x:v>
      </x:c>
      <x:c r="G93" s="25" t="str">
        <x:f>IF(F93="","Missing",IF(TRIM(F93)=TRIM(C93),"Review: same as English","Translated"))</x:f>
        <x:v>Translated</x:v>
      </x:c>
      <x:c r="H93" s="27" t="str"/>
    </x:row>
    <x:row r="94" ht="20" customHeight="1">
      <x:c r="A94" s="25" t="str">
        <x:v>sendReminder</x:v>
      </x:c>
      <x:c r="B94" s="25" t="str">
        <x:v>General interface</x:v>
      </x:c>
      <x:c r="C94" s="25" t="str">
        <x:v>Send Reminder</x:v>
      </x:c>
      <x:c r="D94" s="27" t="str">
        <x:v>Hantar Peringatan</x:v>
      </x:c>
      <x:c r="E94" s="25" t="str">
        <x:f>IF(D94="","Missing",IF(TRIM(D94)=TRIM(C94),"Review: same as English","Translated"))</x:f>
        <x:v>Translated</x:v>
      </x:c>
      <x:c r="F94" s="27" t="str">
        <x:v>发送提醒</x:v>
      </x:c>
      <x:c r="G94" s="25" t="str">
        <x:f>IF(F94="","Missing",IF(TRIM(F94)=TRIM(C94),"Review: same as English","Translated"))</x:f>
        <x:v>Translated</x:v>
      </x:c>
      <x:c r="H94" s="27" t="str"/>
    </x:row>
    <x:row r="95" ht="20" customHeight="1">
      <x:c r="A95" s="25" t="str">
        <x:v>exportCsv</x:v>
      </x:c>
      <x:c r="B95" s="25" t="str">
        <x:v>General interface</x:v>
      </x:c>
      <x:c r="C95" s="25" t="str">
        <x:v>Export CSV Report</x:v>
      </x:c>
      <x:c r="D95" s="27" t="str">
        <x:v>Eksport Laporan CSV</x:v>
      </x:c>
      <x:c r="E95" s="25" t="str">
        <x:f>IF(D95="","Missing",IF(TRIM(D95)=TRIM(C95),"Review: same as English","Translated"))</x:f>
        <x:v>Translated</x:v>
      </x:c>
      <x:c r="F95" s="27" t="str">
        <x:v>导出 CSV 报告</x:v>
      </x:c>
      <x:c r="G95" s="25" t="str">
        <x:f>IF(F95="","Missing",IF(TRIM(F95)=TRIM(C95),"Review: same as English","Translated"))</x:f>
        <x:v>Translated</x:v>
      </x:c>
      <x:c r="H95" s="27" t="str"/>
    </x:row>
    <x:row r="96" ht="20" customHeight="1">
      <x:c r="A96" s="25" t="str">
        <x:v>docsHeaderTitle</x:v>
      </x:c>
      <x:c r="B96" s="25" t="str">
        <x:v>Documents</x:v>
      </x:c>
      <x:c r="C96" s="25" t="str">
        <x:v>Document &amp; Form Repository</x:v>
      </x:c>
      <x:c r="D96" s="27" t="str">
        <x:v>Repositori Dokumen &amp; Borang</x:v>
      </x:c>
      <x:c r="E96" s="25" t="str">
        <x:f>IF(D96="","Missing",IF(TRIM(D96)=TRIM(C96),"Review: same as English","Translated"))</x:f>
        <x:v>Translated</x:v>
      </x:c>
      <x:c r="F96" s="27" t="str">
        <x:v>文件与税务表格中心</x:v>
      </x:c>
      <x:c r="G96" s="25" t="str">
        <x:f>IF(F96="","Missing",IF(TRIM(F96)=TRIM(C96),"Review: same as English","Translated"))</x:f>
        <x:v>Translated</x:v>
      </x:c>
      <x:c r="H96" s="27" t="str"/>
    </x:row>
    <x:row r="97" ht="34" customHeight="1">
      <x:c r="A97" s="25" t="str">
        <x:v>docsHeaderSubtitle</x:v>
      </x:c>
      <x:c r="B97" s="25" t="str">
        <x:v>Documents</x:v>
      </x:c>
      <x:c r="C97" s="25" t="str">
        <x:v>Download official policy templates and upload completed tax and payroll forms.</x:v>
      </x:c>
      <x:c r="D97" s="27" t="str">
        <x:v>Muat turun templat dasar rasmi dan muat naik borang cukai serta gaji yang telah dilengkapkan.</x:v>
      </x:c>
      <x:c r="E97" s="25" t="str">
        <x:f>IF(D97="","Missing",IF(TRIM(D97)=TRIM(C97),"Review: same as English","Translated"))</x:f>
        <x:v>Translated</x:v>
      </x:c>
      <x:c r="F97" s="27" t="str">
        <x:v>下载官方模板，并上传您已签署的薪酬及税务文件。</x:v>
      </x:c>
      <x:c r="G97" s="25" t="str">
        <x:f>IF(F97="","Missing",IF(TRIM(F97)=TRIM(C97),"Review: same as English","Translated"))</x:f>
        <x:v>Translated</x:v>
      </x:c>
      <x:c r="H97" s="27" t="str"/>
    </x:row>
    <x:row r="98" ht="20" customHeight="1">
      <x:c r="A98" s="25" t="str">
        <x:v>uploadNewDoc</x:v>
      </x:c>
      <x:c r="B98" s="25" t="str">
        <x:v>General interface</x:v>
      </x:c>
      <x:c r="C98" s="25" t="str">
        <x:v>Upload New Document</x:v>
      </x:c>
      <x:c r="D98" s="27" t="str">
        <x:v>Muat Naik Dokumen Baharu</x:v>
      </x:c>
      <x:c r="E98" s="25" t="str">
        <x:f>IF(D98="","Missing",IF(TRIM(D98)=TRIM(C98),"Review: same as English","Translated"))</x:f>
        <x:v>Translated</x:v>
      </x:c>
      <x:c r="F98" s="27" t="str">
        <x:v>上传新文件</x:v>
      </x:c>
      <x:c r="G98" s="25" t="str">
        <x:f>IF(F98="","Missing",IF(TRIM(F98)=TRIM(C98),"Review: same as English","Translated"))</x:f>
        <x:v>Translated</x:v>
      </x:c>
      <x:c r="H98" s="27" t="str"/>
    </x:row>
    <x:row r="99" ht="20" customHeight="1">
      <x:c r="A99" s="25" t="str">
        <x:v>docNameCol</x:v>
      </x:c>
      <x:c r="B99" s="25" t="str">
        <x:v>Documents</x:v>
      </x:c>
      <x:c r="C99" s="25" t="str">
        <x:v>Document Name</x:v>
      </x:c>
      <x:c r="D99" s="27" t="str">
        <x:v>Nama Dokumen</x:v>
      </x:c>
      <x:c r="E99" s="25" t="str">
        <x:f>IF(D99="","Missing",IF(TRIM(D99)=TRIM(C99),"Review: same as English","Translated"))</x:f>
        <x:v>Translated</x:v>
      </x:c>
      <x:c r="F99" s="27" t="str">
        <x:v>文件名称</x:v>
      </x:c>
      <x:c r="G99" s="25" t="str">
        <x:f>IF(F99="","Missing",IF(TRIM(F99)=TRIM(C99),"Review: same as English","Translated"))</x:f>
        <x:v>Translated</x:v>
      </x:c>
      <x:c r="H99" s="27" t="str"/>
    </x:row>
    <x:row r="100" ht="20" customHeight="1">
      <x:c r="A100" s="25" t="str">
        <x:v>categoryCol</x:v>
      </x:c>
      <x:c r="B100" s="25" t="str">
        <x:v>General interface</x:v>
      </x:c>
      <x:c r="C100" s="25" t="str">
        <x:v>Category</x:v>
      </x:c>
      <x:c r="D100" s="27" t="str">
        <x:v>Kategori</x:v>
      </x:c>
      <x:c r="E100" s="25" t="str">
        <x:f>IF(D100="","Missing",IF(TRIM(D100)=TRIM(C100),"Review: same as English","Translated"))</x:f>
        <x:v>Translated</x:v>
      </x:c>
      <x:c r="F100" s="27" t="str">
        <x:v>类别</x:v>
      </x:c>
      <x:c r="G100" s="25" t="str">
        <x:f>IF(F100="","Missing",IF(TRIM(F100)=TRIM(C100),"Review: same as English","Translated"))</x:f>
        <x:v>Translated</x:v>
      </x:c>
      <x:c r="H100" s="27" t="str"/>
    </x:row>
    <x:row r="101" ht="20" customHeight="1">
      <x:c r="A101" s="25" t="str">
        <x:v>sizeCol</x:v>
      </x:c>
      <x:c r="B101" s="25" t="str">
        <x:v>General interface</x:v>
      </x:c>
      <x:c r="C101" s="25" t="str">
        <x:v>Size</x:v>
      </x:c>
      <x:c r="D101" s="27" t="str">
        <x:v>Saiz</x:v>
      </x:c>
      <x:c r="E101" s="25" t="str">
        <x:f>IF(D101="","Missing",IF(TRIM(D101)=TRIM(C101),"Review: same as English","Translated"))</x:f>
        <x:v>Translated</x:v>
      </x:c>
      <x:c r="F101" s="27" t="str">
        <x:v>大小</x:v>
      </x:c>
      <x:c r="G101" s="25" t="str">
        <x:f>IF(F101="","Missing",IF(TRIM(F101)=TRIM(C101),"Review: same as English","Translated"))</x:f>
        <x:v>Translated</x:v>
      </x:c>
      <x:c r="H101" s="27" t="str"/>
    </x:row>
    <x:row r="102" ht="20" customHeight="1">
      <x:c r="A102" s="25" t="str">
        <x:v>dateCol</x:v>
      </x:c>
      <x:c r="B102" s="25" t="str">
        <x:v>General interface</x:v>
      </x:c>
      <x:c r="C102" s="25" t="str">
        <x:v>Date</x:v>
      </x:c>
      <x:c r="D102" s="27" t="str">
        <x:v>Tarikh</x:v>
      </x:c>
      <x:c r="E102" s="25" t="str">
        <x:f>IF(D102="","Missing",IF(TRIM(D102)=TRIM(C102),"Review: same as English","Translated"))</x:f>
        <x:v>Translated</x:v>
      </x:c>
      <x:c r="F102" s="27" t="str">
        <x:v>日期</x:v>
      </x:c>
      <x:c r="G102" s="25" t="str">
        <x:f>IF(F102="","Missing",IF(TRIM(F102)=TRIM(C102),"Review: same as English","Translated"))</x:f>
        <x:v>Translated</x:v>
      </x:c>
      <x:c r="H102" s="27" t="str"/>
    </x:row>
    <x:row r="103" ht="20" customHeight="1">
      <x:c r="A103" s="25" t="str">
        <x:v>statusCol</x:v>
      </x:c>
      <x:c r="B103" s="25" t="str">
        <x:v>General interface</x:v>
      </x:c>
      <x:c r="C103" s="25" t="str">
        <x:v>Status</x:v>
      </x:c>
      <x:c r="D103" s="27" t="str">
        <x:v>Status</x:v>
      </x:c>
      <x:c r="E103" s="25" t="str">
        <x:f>IF(D103="","Missing",IF(TRIM(D103)=TRIM(C103),"Review: same as English","Translated"))</x:f>
        <x:v>Review: same as English</x:v>
      </x:c>
      <x:c r="F103" s="27" t="str">
        <x:v>状态</x:v>
      </x:c>
      <x:c r="G103" s="25" t="str">
        <x:f>IF(F103="","Missing",IF(TRIM(F103)=TRIM(C103),"Review: same as English","Translated"))</x:f>
        <x:v>Translated</x:v>
      </x:c>
      <x:c r="H103" s="27" t="str"/>
    </x:row>
    <x:row r="104" ht="20" customHeight="1">
      <x:c r="A104" s="25" t="str">
        <x:v>downloadBtn</x:v>
      </x:c>
      <x:c r="B104" s="25" t="str">
        <x:v>General interface</x:v>
      </x:c>
      <x:c r="C104" s="25" t="str">
        <x:v>Download</x:v>
      </x:c>
      <x:c r="D104" s="27" t="str">
        <x:v>Muat Turun</x:v>
      </x:c>
      <x:c r="E104" s="25" t="str">
        <x:f>IF(D104="","Missing",IF(TRIM(D104)=TRIM(C104),"Review: same as English","Translated"))</x:f>
        <x:v>Translated</x:v>
      </x:c>
      <x:c r="F104" s="27" t="str">
        <x:v>下载</x:v>
      </x:c>
      <x:c r="G104" s="25" t="str">
        <x:f>IF(F104="","Missing",IF(TRIM(F104)=TRIM(C104),"Review: same as English","Translated"))</x:f>
        <x:v>Translated</x:v>
      </x:c>
      <x:c r="H104" s="27" t="str"/>
    </x:row>
    <x:row r="105" ht="20" customHeight="1">
      <x:c r="A105" s="25" t="str">
        <x:v>exportPdfBtn</x:v>
      </x:c>
      <x:c r="B105" s="25" t="str">
        <x:v>General interface</x:v>
      </x:c>
      <x:c r="C105" s="25" t="str">
        <x:v>Export PDF</x:v>
      </x:c>
      <x:c r="D105" s="27" t="str">
        <x:v>Eksport PDF</x:v>
      </x:c>
      <x:c r="E105" s="25" t="str">
        <x:f>IF(D105="","Missing",IF(TRIM(D105)=TRIM(C105),"Review: same as English","Translated"))</x:f>
        <x:v>Translated</x:v>
      </x:c>
      <x:c r="F105" s="27" t="str">
        <x:v>导出 PDF</x:v>
      </x:c>
      <x:c r="G105" s="25" t="str">
        <x:f>IF(F105="","Missing",IF(TRIM(F105)=TRIM(C105),"Review: same as English","Translated"))</x:f>
        <x:v>Translated</x:v>
      </x:c>
      <x:c r="H105" s="27" t="str"/>
    </x:row>
    <x:row r="106" ht="20" customHeight="1">
      <x:c r="A106" s="25" t="str">
        <x:v>exportFormattedPdf</x:v>
      </x:c>
      <x:c r="B106" s="25" t="str">
        <x:v>General interface</x:v>
      </x:c>
      <x:c r="C106" s="25" t="str">
        <x:v>Export Formatted PDF</x:v>
      </x:c>
      <x:c r="D106" s="27" t="str">
        <x:v>Eksport PDF Format</x:v>
      </x:c>
      <x:c r="E106" s="25" t="str">
        <x:f>IF(D106="","Missing",IF(TRIM(D106)=TRIM(C106),"Review: same as English","Translated"))</x:f>
        <x:v>Translated</x:v>
      </x:c>
      <x:c r="F106" s="27" t="str">
        <x:v>导出格式化 PDF</x:v>
      </x:c>
      <x:c r="G106" s="25" t="str">
        <x:f>IF(F106="","Missing",IF(TRIM(F106)=TRIM(C106),"Review: same as English","Translated"))</x:f>
        <x:v>Translated</x:v>
      </x:c>
      <x:c r="H106" s="27" t="str"/>
    </x:row>
    <x:row r="107" ht="20" customHeight="1">
      <x:c r="A107" s="25" t="str">
        <x:v>officialPoliciesTitle</x:v>
      </x:c>
      <x:c r="B107" s="25" t="str">
        <x:v>General interface</x:v>
      </x:c>
      <x:c r="C107" s="25" t="str">
        <x:v>Company Policies &amp; Governance Documents</x:v>
      </x:c>
      <x:c r="D107" s="27" t="str">
        <x:v>Dasar Syarikat &amp; Dokumen Tata Kelola</x:v>
      </x:c>
      <x:c r="E107" s="25" t="str">
        <x:f>IF(D107="","Missing",IF(TRIM(D107)=TRIM(C107),"Review: same as English","Translated"))</x:f>
        <x:v>Translated</x:v>
      </x:c>
      <x:c r="F107" s="27" t="str">
        <x:v>公司政策与合规文件</x:v>
      </x:c>
      <x:c r="G107" s="25" t="str">
        <x:f>IF(F107="","Missing",IF(TRIM(F107)=TRIM(C107),"Review: same as English","Translated"))</x:f>
        <x:v>Translated</x:v>
      </x:c>
      <x:c r="H107" s="27" t="str"/>
    </x:row>
    <x:row r="108" ht="20" customHeight="1">
      <x:c r="A108" s="25" t="str">
        <x:v>policySearchPlaceholder</x:v>
      </x:c>
      <x:c r="B108" s="25" t="str">
        <x:v>General interface</x:v>
      </x:c>
      <x:c r="C108" s="25" t="str">
        <x:v>Search policy title, category, or document code...</x:v>
      </x:c>
      <x:c r="D108" s="27" t="str">
        <x:v>Cari tajuk dasar, kategori, atau kod rujukan...</x:v>
      </x:c>
      <x:c r="E108" s="25" t="str">
        <x:f>IF(D108="","Missing",IF(TRIM(D108)=TRIM(C108),"Review: same as English","Translated"))</x:f>
        <x:v>Translated</x:v>
      </x:c>
      <x:c r="F108" s="27" t="str">
        <x:v>按政策标题、类别或文件编号搜索...</x:v>
      </x:c>
      <x:c r="G108" s="25" t="str">
        <x:f>IF(F108="","Missing",IF(TRIM(F108)=TRIM(C108),"Review: same as English","Translated"))</x:f>
        <x:v>Translated</x:v>
      </x:c>
      <x:c r="H108" s="27" t="str"/>
    </x:row>
    <x:row r="109" ht="34" customHeight="1">
      <x:c r="A109" s="25" t="str">
        <x:v>policyExportNotice</x:v>
      </x:c>
      <x:c r="B109" s="25" t="str">
        <x:v>General interface</x:v>
      </x:c>
      <x:c r="C109" s="25" t="str">
        <x:v>Exports an official formatted PDF with Red Point corporate header and digital governance stamp.</x:v>
      </x:c>
      <x:c r="D109" s="27" t="str">
        <x:v>Mengeksport PDF rasmi yang diformat dengan kepala surat korporat Red Point dan cap pengesahan digital.</x:v>
      </x:c>
      <x:c r="E109" s="25" t="str">
        <x:f>IF(D109="","Missing",IF(TRIM(D109)=TRIM(C109),"Review: same as English","Translated"))</x:f>
        <x:v>Translated</x:v>
      </x:c>
      <x:c r="F109" s="27" t="str">
        <x:v>导出带有 Red Point 官方抬头及数字合规印章的高清格式化 PDF 文件。</x:v>
      </x:c>
      <x:c r="G109" s="25" t="str">
        <x:f>IF(F109="","Missing",IF(TRIM(F109)=TRIM(C109),"Review: same as English","Translated"))</x:f>
        <x:v>Translated</x:v>
      </x:c>
      <x:c r="H109" s="27" t="str"/>
    </x:row>
    <x:row r="110" ht="20" customHeight="1">
      <x:c r="A110" s="25" t="str">
        <x:v>downloadingPdf</x:v>
      </x:c>
      <x:c r="B110" s="25" t="str">
        <x:v>General interface</x:v>
      </x:c>
      <x:c r="C110" s="25" t="str">
        <x:v>Generating PDF...</x:v>
      </x:c>
      <x:c r="D110" s="27" t="str">
        <x:v>Menjana PDF...</x:v>
      </x:c>
      <x:c r="E110" s="25" t="str">
        <x:f>IF(D110="","Missing",IF(TRIM(D110)=TRIM(C110),"Review: same as English","Translated"))</x:f>
        <x:v>Translated</x:v>
      </x:c>
      <x:c r="F110" s="27" t="str">
        <x:v>正在生成 PDF...</x:v>
      </x:c>
      <x:c r="G110" s="25" t="str">
        <x:f>IF(F110="","Missing",IF(TRIM(F110)=TRIM(C110),"Review: same as English","Translated"))</x:f>
        <x:v>Translated</x:v>
      </x:c>
      <x:c r="H110" s="27" t="str"/>
    </x:row>
    <x:row r="111" ht="20" customHeight="1">
      <x:c r="A111" s="25" t="str">
        <x:v>settingsTitle</x:v>
      </x:c>
      <x:c r="B111" s="25" t="str">
        <x:v>Settings</x:v>
      </x:c>
      <x:c r="C111" s="25" t="str">
        <x:v>Profile &amp; App Settings</x:v>
      </x:c>
      <x:c r="D111" s="27" t="str">
        <x:v>Tetapan Profil &amp; Aplikasi</x:v>
      </x:c>
      <x:c r="E111" s="25" t="str">
        <x:f>IF(D111="","Missing",IF(TRIM(D111)=TRIM(C111),"Review: same as English","Translated"))</x:f>
        <x:v>Translated</x:v>
      </x:c>
      <x:c r="F111" s="27" t="str">
        <x:v>个人资料与应用设置</x:v>
      </x:c>
      <x:c r="G111" s="25" t="str">
        <x:f>IF(F111="","Missing",IF(TRIM(F111)=TRIM(C111),"Review: same as English","Translated"))</x:f>
        <x:v>Translated</x:v>
      </x:c>
      <x:c r="H111" s="27" t="str"/>
    </x:row>
    <x:row r="112" ht="20" customHeight="1">
      <x:c r="A112" s="25" t="str">
        <x:v>personalInfo</x:v>
      </x:c>
      <x:c r="B112" s="25" t="str">
        <x:v>General interface</x:v>
      </x:c>
      <x:c r="C112" s="25" t="str">
        <x:v>Personal Information</x:v>
      </x:c>
      <x:c r="D112" s="27" t="str">
        <x:v>Maklumat Peribadi</x:v>
      </x:c>
      <x:c r="E112" s="25" t="str">
        <x:f>IF(D112="","Missing",IF(TRIM(D112)=TRIM(C112),"Review: same as English","Translated"))</x:f>
        <x:v>Translated</x:v>
      </x:c>
      <x:c r="F112" s="27" t="str">
        <x:v>个人信息</x:v>
      </x:c>
      <x:c r="G112" s="25" t="str">
        <x:f>IF(F112="","Missing",IF(TRIM(F112)=TRIM(C112),"Review: same as English","Translated"))</x:f>
        <x:v>Translated</x:v>
      </x:c>
      <x:c r="H112" s="27" t="str"/>
    </x:row>
    <x:row r="113" ht="20" customHeight="1">
      <x:c r="A113" s="25" t="str">
        <x:v>fullName</x:v>
      </x:c>
      <x:c r="B113" s="25" t="str">
        <x:v>General interface</x:v>
      </x:c>
      <x:c r="C113" s="25" t="str">
        <x:v>Full Name</x:v>
      </x:c>
      <x:c r="D113" s="27" t="str">
        <x:v>Nama Penuh</x:v>
      </x:c>
      <x:c r="E113" s="25" t="str">
        <x:f>IF(D113="","Missing",IF(TRIM(D113)=TRIM(C113),"Review: same as English","Translated"))</x:f>
        <x:v>Translated</x:v>
      </x:c>
      <x:c r="F113" s="27" t="str">
        <x:v>姓名</x:v>
      </x:c>
      <x:c r="G113" s="25" t="str">
        <x:f>IF(F113="","Missing",IF(TRIM(F113)=TRIM(C113),"Review: same as English","Translated"))</x:f>
        <x:v>Translated</x:v>
      </x:c>
      <x:c r="H113" s="27" t="str"/>
    </x:row>
    <x:row r="114" ht="20" customHeight="1">
      <x:c r="A114" s="25" t="str">
        <x:v>emailAddr</x:v>
      </x:c>
      <x:c r="B114" s="25" t="str">
        <x:v>General interface</x:v>
      </x:c>
      <x:c r="C114" s="25" t="str">
        <x:v>Email Address</x:v>
      </x:c>
      <x:c r="D114" s="27" t="str">
        <x:v>Alamat Emel</x:v>
      </x:c>
      <x:c r="E114" s="25" t="str">
        <x:f>IF(D114="","Missing",IF(TRIM(D114)=TRIM(C114),"Review: same as English","Translated"))</x:f>
        <x:v>Translated</x:v>
      </x:c>
      <x:c r="F114" s="27" t="str">
        <x:v>电子邮件</x:v>
      </x:c>
      <x:c r="G114" s="25" t="str">
        <x:f>IF(F114="","Missing",IF(TRIM(F114)=TRIM(C114),"Review: same as English","Translated"))</x:f>
        <x:v>Translated</x:v>
      </x:c>
      <x:c r="H114" s="27" t="str"/>
    </x:row>
    <x:row r="115" ht="20" customHeight="1">
      <x:c r="A115" s="25" t="str">
        <x:v>department</x:v>
      </x:c>
      <x:c r="B115" s="25" t="str">
        <x:v>General interface</x:v>
      </x:c>
      <x:c r="C115" s="25" t="str">
        <x:v>Department</x:v>
      </x:c>
      <x:c r="D115" s="27" t="str">
        <x:v>Jabatan</x:v>
      </x:c>
      <x:c r="E115" s="25" t="str">
        <x:f>IF(D115="","Missing",IF(TRIM(D115)=TRIM(C115),"Review: same as English","Translated"))</x:f>
        <x:v>Translated</x:v>
      </x:c>
      <x:c r="F115" s="27" t="str">
        <x:v>部门</x:v>
      </x:c>
      <x:c r="G115" s="25" t="str">
        <x:f>IF(F115="","Missing",IF(TRIM(F115)=TRIM(C115),"Review: same as English","Translated"))</x:f>
        <x:v>Translated</x:v>
      </x:c>
      <x:c r="H115" s="27" t="str"/>
    </x:row>
    <x:row r="116" ht="20" customHeight="1">
      <x:c r="A116" s="25" t="str">
        <x:v>languagePrefTitle</x:v>
      </x:c>
      <x:c r="B116" s="25" t="str">
        <x:v>Settings</x:v>
      </x:c>
      <x:c r="C116" s="25" t="str">
        <x:v>App Language Preference</x:v>
      </x:c>
      <x:c r="D116" s="27" t="str">
        <x:v>Pilihan Bahasa Aplikasi</x:v>
      </x:c>
      <x:c r="E116" s="25" t="str">
        <x:f>IF(D116="","Missing",IF(TRIM(D116)=TRIM(C116),"Review: same as English","Translated"))</x:f>
        <x:v>Translated</x:v>
      </x:c>
      <x:c r="F116" s="27" t="str">
        <x:v>应用语言偏好</x:v>
      </x:c>
      <x:c r="G116" s="25" t="str">
        <x:f>IF(F116="","Missing",IF(TRIM(F116)=TRIM(C116),"Review: same as English","Translated"))</x:f>
        <x:v>Translated</x:v>
      </x:c>
      <x:c r="H116" s="27" t="str"/>
    </x:row>
    <x:row r="117" ht="34" customHeight="1">
      <x:c r="A117" s="25" t="str">
        <x:v>languagePrefDesc</x:v>
      </x:c>
      <x:c r="B117" s="25" t="str">
        <x:v>Settings</x:v>
      </x:c>
      <x:c r="C117" s="25" t="str">
        <x:v>Select your preferred language for the onboarding portal interface and handbook content.</x:v>
      </x:c>
      <x:c r="D117" s="27" t="str">
        <x:v>Pilih bahasa pilihan anda untuk antaramuka portal suai kenal dan kandungan buku panduan.</x:v>
      </x:c>
      <x:c r="E117" s="25" t="str">
        <x:f>IF(D117="","Missing",IF(TRIM(D117)=TRIM(C117),"Review: same as English","Translated"))</x:f>
        <x:v>Translated</x:v>
      </x:c>
      <x:c r="F117" s="27" t="str">
        <x:v>选择您在入职门户界面和手册内容中首选的语言。</x:v>
      </x:c>
      <x:c r="G117" s="25" t="str">
        <x:f>IF(F117="","Missing",IF(TRIM(F117)=TRIM(C117),"Review: same as English","Translated"))</x:f>
        <x:v>Translated</x:v>
      </x:c>
      <x:c r="H117" s="27" t="str"/>
    </x:row>
    <x:row r="118" ht="20" customHeight="1">
      <x:c r="A118" s="25" t="str">
        <x:v>emailNotifTitle</x:v>
      </x:c>
      <x:c r="B118" s="25" t="str">
        <x:v>General interface</x:v>
      </x:c>
      <x:c r="C118" s="25" t="str">
        <x:v>Email Notifications</x:v>
      </x:c>
      <x:c r="D118" s="27" t="str">
        <x:v>Pemberitahuan Emel</x:v>
      </x:c>
      <x:c r="E118" s="25" t="str">
        <x:f>IF(D118="","Missing",IF(TRIM(D118)=TRIM(C118),"Review: same as English","Translated"))</x:f>
        <x:v>Translated</x:v>
      </x:c>
      <x:c r="F118" s="27" t="str">
        <x:v>电子邮件通知</x:v>
      </x:c>
      <x:c r="G118" s="25" t="str">
        <x:f>IF(F118="","Missing",IF(TRIM(F118)=TRIM(C118),"Review: same as English","Translated"))</x:f>
        <x:v>Translated</x:v>
      </x:c>
      <x:c r="H118" s="27" t="str"/>
    </x:row>
    <x:row r="119" ht="34" customHeight="1">
      <x:c r="A119" s="25" t="str">
        <x:v>emailNotifDesc</x:v>
      </x:c>
      <x:c r="B119" s="25" t="str">
        <x:v>General interface</x:v>
      </x:c>
      <x:c r="C119" s="25" t="str">
        <x:v>Receive email reminders for pending onboarding modules and quiz due dates.</x:v>
      </x:c>
      <x:c r="D119" s="27" t="str">
        <x:v>Terima peringatan emel untuk modul suai kenal yang belum selesai dan tarikh akhir kuiz.</x:v>
      </x:c>
      <x:c r="E119" s="25" t="str">
        <x:f>IF(D119="","Missing",IF(TRIM(D119)=TRIM(C119),"Review: same as English","Translated"))</x:f>
        <x:v>Translated</x:v>
      </x:c>
      <x:c r="F119" s="27" t="str">
        <x:v>接收未完成入职模块和测试截止日期的邮件提醒。</x:v>
      </x:c>
      <x:c r="G119" s="25" t="str">
        <x:f>IF(F119="","Missing",IF(TRIM(F119)=TRIM(C119),"Review: same as English","Translated"))</x:f>
        <x:v>Translated</x:v>
      </x:c>
      <x:c r="H119" s="27" t="str"/>
    </x:row>
    <x:row r="120" ht="20" customHeight="1">
      <x:c r="A120" s="25" t="str">
        <x:v>saveChanges</x:v>
      </x:c>
      <x:c r="B120" s="25" t="str">
        <x:v>General interface</x:v>
      </x:c>
      <x:c r="C120" s="25" t="str">
        <x:v>Save Changes</x:v>
      </x:c>
      <x:c r="D120" s="27" t="str">
        <x:v>Simpan Perubahan</x:v>
      </x:c>
      <x:c r="E120" s="25" t="str">
        <x:f>IF(D120="","Missing",IF(TRIM(D120)=TRIM(C120),"Review: same as English","Translated"))</x:f>
        <x:v>Translated</x:v>
      </x:c>
      <x:c r="F120" s="27" t="str">
        <x:v>保存更改</x:v>
      </x:c>
      <x:c r="G120" s="25" t="str">
        <x:f>IF(F120="","Missing",IF(TRIM(F120)=TRIM(C120),"Review: same as English","Translated"))</x:f>
        <x:v>Translated</x:v>
      </x:c>
      <x:c r="H120" s="27" t="str"/>
    </x:row>
    <x:row r="121" ht="20" customHeight="1">
      <x:c r="A121" s="25" t="str">
        <x:v>settingsSaved</x:v>
      </x:c>
      <x:c r="B121" s="25" t="str">
        <x:v>Settings</x:v>
      </x:c>
      <x:c r="C121" s="25" t="str">
        <x:v>Settings updated successfully!</x:v>
      </x:c>
      <x:c r="D121" s="27" t="str">
        <x:v>Tetapan berjaya dikemaskini!</x:v>
      </x:c>
      <x:c r="E121" s="25" t="str">
        <x:f>IF(D121="","Missing",IF(TRIM(D121)=TRIM(C121),"Review: same as English","Translated"))</x:f>
        <x:v>Translated</x:v>
      </x:c>
      <x:c r="F121" s="27" t="str">
        <x:v>设置更新成功！</x:v>
      </x:c>
      <x:c r="G121" s="25" t="str">
        <x:f>IF(F121="","Missing",IF(TRIM(F121)=TRIM(C121),"Review: same as English","Translated"))</x:f>
        <x:v>Translated</x:v>
      </x:c>
      <x:c r="H121" s="27" t="str"/>
    </x:row>
    <x:row r="122" ht="20" customHeight="1">
      <x:c r="A122" s="25" t="str">
        <x:v>aiAssistantTitle</x:v>
      </x:c>
      <x:c r="B122" s="25" t="str">
        <x:v>AI assistant</x:v>
      </x:c>
      <x:c r="C122" s="25" t="str">
        <x:v>Handbook AI Assistant</x:v>
      </x:c>
      <x:c r="D122" s="27" t="str">
        <x:v>Pembantu AI Buku Panduan</x:v>
      </x:c>
      <x:c r="E122" s="25" t="str">
        <x:f>IF(D122="","Missing",IF(TRIM(D122)=TRIM(C122),"Review: same as English","Translated"))</x:f>
        <x:v>Translated</x:v>
      </x:c>
      <x:c r="F122" s="27" t="str">
        <x:v>手册 AI 智能助手</x:v>
      </x:c>
      <x:c r="G122" s="25" t="str">
        <x:f>IF(F122="","Missing",IF(TRIM(F122)=TRIM(C122),"Review: same as English","Translated"))</x:f>
        <x:v>Translated</x:v>
      </x:c>
      <x:c r="H122" s="27" t="str"/>
    </x:row>
    <x:row r="123" ht="34" customHeight="1">
      <x:c r="A123" s="25" t="str">
        <x:v>aiAssistantSubtitle</x:v>
      </x:c>
      <x:c r="B123" s="25" t="str">
        <x:v>AI assistant</x:v>
      </x:c>
      <x:c r="C123" s="25" t="str">
        <x:v>Ask any questions regarding Red Point policies, benefits, code of conduct, and leave entitlements.</x:v>
      </x:c>
      <x:c r="D123" s="27" t="str">
        <x:v>Tanya apa-apa soalan mengenai dasar, faedah, etika, dan kelayakan cuti Red Point.</x:v>
      </x:c>
      <x:c r="E123" s="25" t="str">
        <x:f>IF(D123="","Missing",IF(TRIM(D123)=TRIM(C123),"Review: same as English","Translated"))</x:f>
        <x:v>Translated</x:v>
      </x:c>
      <x:c r="F123" s="27" t="str">
        <x:v>随时询问有关 Red Point 公司政策、福利、职业道德及休假权益的任何问题。</x:v>
      </x:c>
      <x:c r="G123" s="25" t="str">
        <x:f>IF(F123="","Missing",IF(TRIM(F123)=TRIM(C123),"Review: same as English","Translated"))</x:f>
        <x:v>Translated</x:v>
      </x:c>
      <x:c r="H123" s="27" t="str"/>
    </x:row>
    <x:row r="124" ht="20" customHeight="1">
      <x:c r="A124" s="25" t="str">
        <x:v>suggestedQuestions</x:v>
      </x:c>
      <x:c r="B124" s="25" t="str">
        <x:v>General interface</x:v>
      </x:c>
      <x:c r="C124" s="25" t="str">
        <x:v>Suggested Questions:</x:v>
      </x:c>
      <x:c r="D124" s="27" t="str">
        <x:v>Cadangan Soalan:</x:v>
      </x:c>
      <x:c r="E124" s="25" t="str">
        <x:f>IF(D124="","Missing",IF(TRIM(D124)=TRIM(C124),"Review: same as English","Translated"))</x:f>
        <x:v>Translated</x:v>
      </x:c>
      <x:c r="F124" s="27" t="str">
        <x:v>推荐问题：</x:v>
      </x:c>
      <x:c r="G124" s="25" t="str">
        <x:f>IF(F124="","Missing",IF(TRIM(F124)=TRIM(C124),"Review: same as English","Translated"))</x:f>
        <x:v>Translated</x:v>
      </x:c>
      <x:c r="H124" s="27" t="str"/>
    </x:row>
    <x:row r="125" ht="34" customHeight="1">
      <x:c r="A125" s="25" t="str">
        <x:v>aiInputPlaceholder</x:v>
      </x:c>
      <x:c r="B125" s="25" t="str">
        <x:v>AI assistant</x:v>
      </x:c>
      <x:c r="C125" s="25" t="str">
        <x:v>Type your policy question in English, Malay, or Chinese...</x:v>
      </x:c>
      <x:c r="D125" s="27" t="str">
        <x:v>Taip soalan dasar anda dalam Bahasa Melayu, Inggeris, atau Cina...</x:v>
      </x:c>
      <x:c r="E125" s="25" t="str">
        <x:f>IF(D125="","Missing",IF(TRIM(D125)=TRIM(C125),"Review: same as English","Translated"))</x:f>
        <x:v>Translated</x:v>
      </x:c>
      <x:c r="F125" s="27" t="str">
        <x:v>请用中文、马来语或英语输入您的政策问题...</x:v>
      </x:c>
      <x:c r="G125" s="25" t="str">
        <x:f>IF(F125="","Missing",IF(TRIM(F125)=TRIM(C125),"Review: same as English","Translated"))</x:f>
        <x:v>Translated</x:v>
      </x:c>
      <x:c r="H125" s="27" t="str"/>
    </x:row>
    <x:row r="126" ht="20" customHeight="1">
      <x:c r="A126" s="25" t="str">
        <x:v>aiSendBtn</x:v>
      </x:c>
      <x:c r="B126" s="25" t="str">
        <x:v>AI assistant</x:v>
      </x:c>
      <x:c r="C126" s="25" t="str">
        <x:v>Send</x:v>
      </x:c>
      <x:c r="D126" s="27" t="str">
        <x:v>Hantar</x:v>
      </x:c>
      <x:c r="E126" s="25" t="str">
        <x:f>IF(D126="","Missing",IF(TRIM(D126)=TRIM(C126),"Review: same as English","Translated"))</x:f>
        <x:v>Translated</x:v>
      </x:c>
      <x:c r="F126" s="27" t="str">
        <x:v>发送</x:v>
      </x:c>
      <x:c r="G126" s="25" t="str">
        <x:f>IF(F126="","Missing",IF(TRIM(F126)=TRIM(C126),"Review: same as English","Translated"))</x:f>
        <x:v>Translated</x:v>
      </x:c>
      <x:c r="H126" s="27" t="str"/>
    </x:row>
    <x:row r="127" ht="20" customHeight="1">
      <x:c r="A127" s="25" t="str">
        <x:v>sampleAiQuestion1</x:v>
      </x:c>
      <x:c r="B127" s="25" t="str">
        <x:v>AI assistant</x:v>
      </x:c>
      <x:c r="C127" s="25" t="str">
        <x:v>What is the gift acceptance policy?</x:v>
      </x:c>
      <x:c r="D127" s="27" t="str">
        <x:v>Apakah dasar penerimaan hadiah syarikat?</x:v>
      </x:c>
      <x:c r="E127" s="25" t="str">
        <x:f>IF(D127="","Missing",IF(TRIM(D127)=TRIM(C127),"Review: same as English","Translated"))</x:f>
        <x:v>Translated</x:v>
      </x:c>
      <x:c r="F127" s="27" t="str">
        <x:v>公司对于接受礼品的政策是什么？</x:v>
      </x:c>
      <x:c r="G127" s="25" t="str">
        <x:f>IF(F127="","Missing",IF(TRIM(F127)=TRIM(C127),"Review: same as English","Translated"))</x:f>
        <x:v>Translated</x:v>
      </x:c>
      <x:c r="H127" s="27" t="str"/>
    </x:row>
    <x:row r="128" ht="20" customHeight="1">
      <x:c r="A128" s="25" t="str">
        <x:v>sampleAiQuestion2</x:v>
      </x:c>
      <x:c r="B128" s="25" t="str">
        <x:v>AI assistant</x:v>
      </x:c>
      <x:c r="C128" s="25" t="str">
        <x:v>How many days of annual leave do I get?</x:v>
      </x:c>
      <x:c r="D128" s="27" t="str">
        <x:v>Berapakah kelayakan cuti tahunan saya?</x:v>
      </x:c>
      <x:c r="E128" s="25" t="str">
        <x:f>IF(D128="","Missing",IF(TRIM(D128)=TRIM(C128),"Review: same as English","Translated"))</x:f>
        <x:v>Translated</x:v>
      </x:c>
      <x:c r="F128" s="27" t="str">
        <x:v>我每年享有几天年假？</x:v>
      </x:c>
      <x:c r="G128" s="25" t="str">
        <x:f>IF(F128="","Missing",IF(TRIM(F128)=TRIM(C128),"Review: same as English","Translated"))</x:f>
        <x:v>Translated</x:v>
      </x:c>
      <x:c r="H128" s="27" t="str"/>
    </x:row>
    <x:row r="129" ht="20" customHeight="1">
      <x:c r="A129" s="25" t="str">
        <x:v>sampleAiQuestion3</x:v>
      </x:c>
      <x:c r="B129" s="25" t="str">
        <x:v>AI assistant</x:v>
      </x:c>
      <x:c r="C129" s="25" t="str">
        <x:v>What happens if I fail the compliance quiz?</x:v>
      </x:c>
      <x:c r="D129" s="27" t="str">
        <x:v>Apakah yang berlaku jika gagal kuiz pematuhan?</x:v>
      </x:c>
      <x:c r="E129" s="25" t="str">
        <x:f>IF(D129="","Missing",IF(TRIM(D129)=TRIM(C129),"Review: same as English","Translated"))</x:f>
        <x:v>Translated</x:v>
      </x:c>
      <x:c r="F129" s="27" t="str">
        <x:v>如果合规测试未通过会怎样？</x:v>
      </x:c>
      <x:c r="G129" s="25" t="str">
        <x:f>IF(F129="","Missing",IF(TRIM(F129)=TRIM(C129),"Review: same as English","Translated"))</x:f>
        <x:v>Translated</x:v>
      </x:c>
      <x:c r="H129" s="27" t="str"/>
    </x:row>
  </x:sheetData>
  <x:mergeCells>
    <x:mergeCell ref="A1:H1"/>
    <x:mergeCell ref="A2:H2"/>
  </x:mergeCells>
  <x:conditionalFormatting sqref="E5:E129">
    <x:cfRule type="containsText" dxfId="0" priority="1" operator="containsText" text="Missing"/>
    <x:cfRule type="containsText" dxfId="1" priority="2" operator="containsText" text="Review"/>
    <x:cfRule type="containsText" dxfId="2" priority="3" operator="containsText" text="Translated"/>
  </x:conditionalFormatting>
  <x:conditionalFormatting sqref="G5:G129">
    <x:cfRule type="containsText" dxfId="3" priority="4" operator="containsText" text="Missing"/>
    <x:cfRule type="containsText" dxfId="4" priority="5" operator="containsText" text="Review"/>
    <x:cfRule type="containsText" dxfId="5" priority="6" operator="containsText" text="Translated"/>
  </x:conditionalFormatting>
  <x:pageMargins left="0.7" right="0.7" top="0.75" bottom="0.75" header="0.3" footer="0.3"/>
  <x:tableParts count="1">
    <x:tablePart xmlns:r="http://schemas.openxmlformats.org/officeDocument/2006/relationships" r:id="R341f2f4f0c7140b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42" hidden="0" customWidth="1"/>
    <x:col min="3" max="3" width="32" hidden="0" customWidth="1"/>
    <x:col min="4" max="4" width="65" hidden="0" customWidth="1"/>
    <x:col min="5" max="5" width="65" hidden="0" customWidth="1"/>
    <x:col min="6" max="6" width="20" hidden="0" customWidth="1"/>
    <x:col min="7" max="7" width="65" hidden="0" customWidth="1"/>
    <x:col min="8" max="8" width="20" hidden="0" customWidth="1"/>
    <x:col min="9" max="9" width="38" hidden="0" customWidth="1"/>
  </x:cols>
  <x:sheetData>
    <x:row r="1" ht="28" customHeight="1">
      <x:c r="A1" s="3" t="str">
        <x:v>Employee Handbook Translation Pack</x:v>
      </x:c>
      <x:c r="B1" s="3"/>
      <x:c r="C1" s="3"/>
      <x:c r="D1" s="3"/>
      <x:c r="E1" s="3"/>
      <x:c r="F1" s="3"/>
      <x:c r="G1" s="3"/>
      <x:c r="H1" s="3"/>
      <x:c r="I1" s="3"/>
    </x:row>
    <x:row r="2" ht="36" customHeight="1">
      <x:c r="A2" s="7" t="str">
        <x:v>All 15 English modules are flattened below. Missing Malay and Chinese modules or fields are left blank for translation.</x:v>
      </x:c>
      <x:c r="B2" s="7"/>
      <x:c r="C2" s="7"/>
      <x:c r="D2" s="7"/>
      <x:c r="E2" s="7"/>
      <x:c r="F2" s="7"/>
      <x:c r="G2" s="7"/>
      <x:c r="H2" s="7"/>
      <x:c r="I2" s="7"/>
    </x:row>
    <x:row r="4">
      <x:c r="A4" s="16" t="str">
        <x:v>Module</x:v>
      </x:c>
      <x:c r="B4" s="17" t="str">
        <x:v>Field Key</x:v>
      </x:c>
      <x:c r="C4" s="17" t="str">
        <x:v>Context</x:v>
      </x:c>
      <x:c r="D4" s="17" t="str">
        <x:v>English Source</x:v>
      </x:c>
      <x:c r="E4" s="17" t="str">
        <x:v>Malay (ms)</x:v>
      </x:c>
      <x:c r="F4" s="17" t="str">
        <x:v>Malay Status</x:v>
      </x:c>
      <x:c r="G4" s="17" t="str">
        <x:v>Chinese (zh)</x:v>
      </x:c>
      <x:c r="H4" s="17" t="str">
        <x:v>Chinese Status</x:v>
      </x:c>
      <x:c r="I4" s="18" t="str">
        <x:v>Developer / Translator Notes</x:v>
      </x:c>
    </x:row>
    <x:row r="5" ht="20" customHeight="1">
      <x:c r="A5" s="24" t="n">
        <x:v>1</x:v>
      </x:c>
      <x:c r="B5" s="24" t="str">
        <x:v>title</x:v>
      </x:c>
      <x:c r="C5" s="24" t="str">
        <x:v>Module 1 title</x:v>
      </x:c>
      <x:c r="D5" s="24" t="str">
        <x:v>Part 1 – Introduction</x:v>
      </x:c>
      <x:c r="E5" s="26" t="str">
        <x:v>1. Selamat Datang ke Red Point</x:v>
      </x:c>
      <x:c r="F5" s="24" t="str">
        <x:f>IF(E5="","Missing",IF(TRIM(E5)=TRIM(D5),"Review: same as English","Translated"))</x:f>
        <x:v>Translated</x:v>
      </x:c>
      <x:c r="G5" s="26" t="str">
        <x:v>1. 欢迎来到 Red Point</x:v>
      </x:c>
      <x:c r="H5" s="24" t="str">
        <x:f>IF(G5="","Missing",IF(TRIM(G5)=TRIM(D5),"Review: same as English","Translated"))</x:f>
        <x:v>Translated</x:v>
      </x:c>
      <x:c r="I5" s="26" t="str"/>
    </x:row>
    <x:row r="6" ht="34" customHeight="1">
      <x:c r="A6" s="25" t="n">
        <x:v>1</x:v>
      </x:c>
      <x:c r="B6" s="25" t="str">
        <x:v>subtitle</x:v>
      </x:c>
      <x:c r="C6" s="25" t="str">
        <x:v>Module 1 subtitle</x:v>
      </x:c>
      <x:c r="D6" s="25" t="str">
        <x:v>Welcome message, company vision, mission, core values, and applicability</x:v>
      </x:c>
      <x:c r="E6" s="27" t="str">
        <x:v>Sejarah syarikat, misi, visi, dan kepimpinan teras</x:v>
      </x:c>
      <x:c r="F6" s="25" t="str">
        <x:f>IF(E6="","Missing",IF(TRIM(E6)=TRIM(D6),"Review: same as English","Translated"))</x:f>
        <x:v>Translated</x:v>
      </x:c>
      <x:c r="G6" s="27" t="str">
        <x:v>公司历史、使命、愿景及核心领导层介绍</x:v>
      </x:c>
      <x:c r="H6" s="25" t="str">
        <x:f>IF(G6="","Missing",IF(TRIM(G6)=TRIM(D6),"Review: same as English","Translated"))</x:f>
        <x:v>Translated</x:v>
      </x:c>
      <x:c r="I6" s="27" t="str"/>
    </x:row>
    <x:row r="7" ht="20" customHeight="1">
      <x:c r="A7" s="25" t="n">
        <x:v>1</x:v>
      </x:c>
      <x:c r="B7" s="25" t="str">
        <x:v>content.sectionTitle</x:v>
      </x:c>
      <x:c r="C7" s="25" t="str">
        <x:v>Module 1 section heading</x:v>
      </x:c>
      <x:c r="D7" s="25" t="str">
        <x:v>PART 1 – INTRODUCTION</x:v>
      </x:c>
      <x:c r="E7" s="27" t="str">
        <x:v>Selamat Datang ke Red Point Sdn. Bhd.</x:v>
      </x:c>
      <x:c r="F7" s="25" t="str">
        <x:f>IF(E7="","Missing",IF(TRIM(E7)=TRIM(D7),"Review: same as English","Translated"))</x:f>
        <x:v>Translated</x:v>
      </x:c>
      <x:c r="G7" s="27" t="str">
        <x:v>欢迎加入 Red Point Sdn. Bhd.</x:v>
      </x:c>
      <x:c r="H7" s="25" t="str">
        <x:f>IF(G7="","Missing",IF(TRIM(G7)=TRIM(D7),"Review: same as English","Translated"))</x:f>
        <x:v>Translated</x:v>
      </x:c>
      <x:c r="I7" s="27" t="str"/>
    </x:row>
    <x:row r="8" ht="62" customHeight="1">
      <x:c r="A8" s="25" t="n">
        <x:v>1</x:v>
      </x:c>
      <x:c r="B8" s="25" t="str">
        <x:v>content.bodyParagraphs[0]</x:v>
      </x:c>
      <x:c r="C8" s="25" t="str">
        <x:v>Module 1 opening paragraph 1</x:v>
      </x:c>
      <x:c r="D8" s="25" t="str">
        <x:v>Welcome to RedPoint Sdn Bhd. At RedPoint, we are more than a marketing and advertising agency—we are a team of passionate individuals dedicated to creating meaningful impact for our clients, our brands, and our people.</x:v>
      </x:c>
      <x:c r="E8" s="27" t="str">
        <x:v>Selamat datang ke Red Point! Kami amat gembira menyambut anda menyertai pasukan kami. Di Red Point, misi kami adalah memperkasakan perniagaan melalui teknologi dan tatakelola yang jelas.</x:v>
      </x:c>
      <x:c r="F8" s="25" t="str">
        <x:f>IF(E8="","Missing",IF(TRIM(E8)=TRIM(D8),"Review: same as English","Translated"))</x:f>
        <x:v>Translated</x:v>
      </x:c>
      <x:c r="G8" s="27" t="str">
        <x:v>热烈欢迎您加入 Red Point 团队！在 Red Point，我们的使命是通过先进的技术和严谨的治理赋能企业成长。</x:v>
      </x:c>
      <x:c r="H8" s="25" t="str">
        <x:f>IF(G8="","Missing",IF(TRIM(G8)=TRIM(D8),"Review: same as English","Translated"))</x:f>
        <x:v>Translated</x:v>
      </x:c>
      <x:c r="I8" s="27" t="str"/>
    </x:row>
    <x:row r="9" ht="48" customHeight="1">
      <x:c r="A9" s="25" t="n">
        <x:v>1</x:v>
      </x:c>
      <x:c r="B9" s="25" t="str">
        <x:v>content.bodyParagraphs[1]</x:v>
      </x:c>
      <x:c r="C9" s="25" t="str">
        <x:v>Module 1 opening paragraph 2</x:v>
      </x:c>
      <x:c r="D9" s="25" t="str">
        <x:v>We believe that great ideas, speed of execution, and teamwork are the driving forces behind success. Every employee plays an important role in shaping our culture and contributing to our achievements.</x:v>
      </x:c>
      <x:c r="E9" s="27" t="str">
        <x:v>Sepanjang dekad yang lalu, Red Point telah berkembang menjadi pemimpin industri di Asia Tenggara. Sebagai ahli pasukan, pandangan unik dan dedikasi anda akan menyumbang secara langsung kepada bab seterusnya.</x:v>
      </x:c>
      <x:c r="F9" s="25" t="str">
        <x:f>IF(E9="","Missing",IF(TRIM(E9)=TRIM(D9),"Review: same as English","Translated"))</x:f>
        <x:v>Translated</x:v>
      </x:c>
      <x:c r="G9" s="27" t="str">
        <x:v>在过去的十年中，Red Point 已发展成为东南亚领军企业。作为团队重要的一员，您的独特视角与奉献精神将直接助力我们开启崭新篇章。</x:v>
      </x:c>
      <x:c r="H9" s="25" t="str">
        <x:f>IF(G9="","Missing",IF(TRIM(G9)=TRIM(D9),"Review: same as English","Translated"))</x:f>
        <x:v>Translated</x:v>
      </x:c>
      <x:c r="I9" s="27" t="str"/>
    </x:row>
    <x:row r="10" ht="62" customHeight="1">
      <x:c r="A10" s="25" t="n">
        <x:v>1</x:v>
      </x:c>
      <x:c r="B10" s="25" t="str">
        <x:v>content.bodyParagraphs[2]</x:v>
      </x:c>
      <x:c r="C10" s="25" t="str">
        <x:v>Module 1 opening paragraph 3</x:v>
      </x:c>
      <x:c r="D10" s="25" t="str">
        <x:v>This Employee Handbook serves as a guide to our policies, procedures, expectations, and ways of working. It is designed to help every employee understand their responsibilities and the standards expected of them while ensuring a fair, productive, and respectful work environment.</x:v>
      </x:c>
      <x:c r="E10" s="27" t="str"/>
      <x:c r="F10" s="25" t="str">
        <x:f>IF(E10="","Missing",IF(TRIM(E10)=TRIM(D10),"Review: same as English","Translated"))</x:f>
        <x:v>Missing</x:v>
      </x:c>
      <x:c r="G10" s="27" t="str"/>
      <x:c r="H10" s="25" t="str">
        <x:f>IF(G10="","Missing",IF(TRIM(G10)=TRIM(D10),"Review: same as English","Translated"))</x:f>
        <x:v>Missing</x:v>
      </x:c>
      <x:c r="I10" s="27" t="str"/>
    </x:row>
    <x:row r="11" ht="20" customHeight="1">
      <x:c r="A11" s="25" t="n">
        <x:v>1</x:v>
      </x:c>
      <x:c r="B11" s="25" t="str">
        <x:v>content.subsections[0].title</x:v>
      </x:c>
      <x:c r="C11" s="25" t="str">
        <x:v>Module 1 subsection 1 title</x:v>
      </x:c>
      <x:c r="D11" s="25" t="str">
        <x:v>1. WELCOME MESSAGE</x:v>
      </x:c>
      <x:c r="E11" s="27" t="str"/>
      <x:c r="F11" s="25" t="str">
        <x:f>IF(E11="","Missing",IF(TRIM(E11)=TRIM(D11),"Review: same as English","Translated"))</x:f>
        <x:v>Missing</x:v>
      </x:c>
      <x:c r="G11" s="27" t="str"/>
      <x:c r="H11" s="25" t="str">
        <x:f>IF(G11="","Missing",IF(TRIM(G11)=TRIM(D11),"Review: same as English","Translated"))</x:f>
        <x:v>Missing</x:v>
      </x:c>
      <x:c r="I11" s="27" t="str"/>
    </x:row>
    <x:row r="12" ht="20" customHeight="1">
      <x:c r="A12" s="25" t="n">
        <x:v>1</x:v>
      </x:c>
      <x:c r="B12" s="25" t="str">
        <x:v>content.subsections[0].paragraphs[0]</x:v>
      </x:c>
      <x:c r="C12" s="25" t="str">
        <x:v>Module 1 subsection 1 paragraph 1</x:v>
      </x:c>
      <x:c r="D12" s="25" t="str">
        <x:v>Dear Team, Welcome to RedPoint Sdn Bhd.</x:v>
      </x:c>
      <x:c r="E12" s="27" t="str"/>
      <x:c r="F12" s="25" t="str">
        <x:f>IF(E12="","Missing",IF(TRIM(E12)=TRIM(D12),"Review: same as English","Translated"))</x:f>
        <x:v>Missing</x:v>
      </x:c>
      <x:c r="G12" s="27" t="str"/>
      <x:c r="H12" s="25" t="str">
        <x:f>IF(G12="","Missing",IF(TRIM(G12)=TRIM(D12),"Review: same as English","Translated"))</x:f>
        <x:v>Missing</x:v>
      </x:c>
      <x:c r="I12" s="27" t="str"/>
    </x:row>
    <x:row r="13" ht="34" customHeight="1">
      <x:c r="A13" s="25" t="n">
        <x:v>1</x:v>
      </x:c>
      <x:c r="B13" s="25" t="str">
        <x:v>content.subsections[0].paragraphs[1]</x:v>
      </x:c>
      <x:c r="C13" s="25" t="str">
        <x:v>Module 1 subsection 1 paragraph 2</x:v>
      </x:c>
      <x:c r="D13" s="25" t="str">
        <x:v>As a young and dynamic company, we value: Accountability, Creativity, Collaboration, Continuous Learning, and Results-Driven Execution.</x:v>
      </x:c>
      <x:c r="E13" s="27" t="str"/>
      <x:c r="F13" s="25" t="str">
        <x:f>IF(E13="","Missing",IF(TRIM(E13)=TRIM(D13),"Review: same as English","Translated"))</x:f>
        <x:v>Missing</x:v>
      </x:c>
      <x:c r="G13" s="27" t="str"/>
      <x:c r="H13" s="25" t="str">
        <x:f>IF(G13="","Missing",IF(TRIM(G13)=TRIM(D13),"Review: same as English","Translated"))</x:f>
        <x:v>Missing</x:v>
      </x:c>
      <x:c r="I13" s="27" t="str"/>
    </x:row>
    <x:row r="14" ht="48" customHeight="1">
      <x:c r="A14" s="25" t="n">
        <x:v>1</x:v>
      </x:c>
      <x:c r="B14" s="25" t="str">
        <x:v>content.subsections[0].paragraphs[2]</x:v>
      </x:c>
      <x:c r="C14" s="25" t="str">
        <x:v>Module 1 subsection 1 paragraph 3</x:v>
      </x:c>
      <x:c r="D14" s="25" t="str">
        <x:v>We encourage you to embrace our culture, challenge yourself, support one another, and take ownership of your growth and success. Welcome to the RedPoint family.</x:v>
      </x:c>
      <x:c r="E14" s="27" t="str"/>
      <x:c r="F14" s="25" t="str">
        <x:f>IF(E14="","Missing",IF(TRIM(E14)=TRIM(D14),"Review: same as English","Translated"))</x:f>
        <x:v>Missing</x:v>
      </x:c>
      <x:c r="G14" s="27" t="str"/>
      <x:c r="H14" s="25" t="str">
        <x:f>IF(G14="","Missing",IF(TRIM(G14)=TRIM(D14),"Review: same as English","Translated"))</x:f>
        <x:v>Missing</x:v>
      </x:c>
      <x:c r="I14" s="27" t="str"/>
    </x:row>
    <x:row r="15" ht="20" customHeight="1">
      <x:c r="A15" s="25" t="n">
        <x:v>1</x:v>
      </x:c>
      <x:c r="B15" s="25" t="str">
        <x:v>content.subsections[1].title</x:v>
      </x:c>
      <x:c r="C15" s="25" t="str">
        <x:v>Module 1 subsection 2 title</x:v>
      </x:c>
      <x:c r="D15" s="25" t="str">
        <x:v>2. ABOUT THE COMPANY</x:v>
      </x:c>
      <x:c r="E15" s="27" t="str"/>
      <x:c r="F15" s="25" t="str">
        <x:f>IF(E15="","Missing",IF(TRIM(E15)=TRIM(D15),"Review: same as English","Translated"))</x:f>
        <x:v>Missing</x:v>
      </x:c>
      <x:c r="G15" s="27" t="str"/>
      <x:c r="H15" s="25" t="str">
        <x:f>IF(G15="","Missing",IF(TRIM(G15)=TRIM(D15),"Review: same as English","Translated"))</x:f>
        <x:v>Missing</x:v>
      </x:c>
      <x:c r="I15" s="27" t="str"/>
    </x:row>
    <x:row r="16" ht="62" customHeight="1">
      <x:c r="A16" s="25" t="n">
        <x:v>1</x:v>
      </x:c>
      <x:c r="B16" s="25" t="str">
        <x:v>content.subsections[1].paragraphs[0]</x:v>
      </x:c>
      <x:c r="C16" s="25" t="str">
        <x:v>Module 1 subsection 2 paragraph 1</x:v>
      </x:c>
      <x:c r="D16" s="25" t="str">
        <x:v>RedPoint Sdn Bhd is a dynamic and fast-growing media, marketing, and advertising company committed to helping businesses and brands grow through innovative marketing strategies, creative solutions, and impactful campaigns.</x:v>
      </x:c>
      <x:c r="E16" s="27" t="str"/>
      <x:c r="F16" s="25" t="str">
        <x:f>IF(E16="","Missing",IF(TRIM(E16)=TRIM(D16),"Review: same as English","Translated"))</x:f>
        <x:v>Missing</x:v>
      </x:c>
      <x:c r="G16" s="27" t="str"/>
      <x:c r="H16" s="25" t="str">
        <x:f>IF(G16="","Missing",IF(TRIM(G16)=TRIM(D16),"Review: same as English","Translated"))</x:f>
        <x:v>Missing</x:v>
      </x:c>
      <x:c r="I16" s="27" t="str"/>
    </x:row>
    <x:row r="17" ht="20" customHeight="1">
      <x:c r="A17" s="25" t="n">
        <x:v>1</x:v>
      </x:c>
      <x:c r="B17" s="25" t="str">
        <x:v>content.subsections[1].paragraphs[1]</x:v>
      </x:c>
      <x:c r="C17" s="25" t="str">
        <x:v>Module 1 subsection 2 paragraph 2</x:v>
      </x:c>
      <x:c r="D17" s="25" t="str">
        <x:v>Our expertise spans across various areas, including:</x:v>
      </x:c>
      <x:c r="E17" s="27" t="str"/>
      <x:c r="F17" s="25" t="str">
        <x:f>IF(E17="","Missing",IF(TRIM(E17)=TRIM(D17),"Review: same as English","Translated"))</x:f>
        <x:v>Missing</x:v>
      </x:c>
      <x:c r="G17" s="27" t="str"/>
      <x:c r="H17" s="25" t="str">
        <x:f>IF(G17="","Missing",IF(TRIM(G17)=TRIM(D17),"Review: same as English","Translated"))</x:f>
        <x:v>Missing</x:v>
      </x:c>
      <x:c r="I17" s="27" t="str"/>
    </x:row>
    <x:row r="18" ht="20" customHeight="1">
      <x:c r="A18" s="25" t="n">
        <x:v>1</x:v>
      </x:c>
      <x:c r="B18" s="25" t="str">
        <x:v>content.subsections[1].bulletPoints[0]</x:v>
      </x:c>
      <x:c r="C18" s="25" t="str">
        <x:v>Module 1 subsection 2 bullet 1</x:v>
      </x:c>
      <x:c r="D18" s="25" t="str">
        <x:v>Digital Marketing</x:v>
      </x:c>
      <x:c r="E18" s="27" t="str"/>
      <x:c r="F18" s="25" t="str">
        <x:f>IF(E18="","Missing",IF(TRIM(E18)=TRIM(D18),"Review: same as English","Translated"))</x:f>
        <x:v>Missing</x:v>
      </x:c>
      <x:c r="G18" s="27" t="str"/>
      <x:c r="H18" s="25" t="str">
        <x:f>IF(G18="","Missing",IF(TRIM(G18)=TRIM(D18),"Review: same as English","Translated"))</x:f>
        <x:v>Missing</x:v>
      </x:c>
      <x:c r="I18" s="27" t="str"/>
    </x:row>
    <x:row r="19" ht="20" customHeight="1">
      <x:c r="A19" s="25" t="n">
        <x:v>1</x:v>
      </x:c>
      <x:c r="B19" s="25" t="str">
        <x:v>content.subsections[1].bulletPoints[1]</x:v>
      </x:c>
      <x:c r="C19" s="25" t="str">
        <x:v>Module 1 subsection 2 bullet 2</x:v>
      </x:c>
      <x:c r="D19" s="25" t="str">
        <x:v>Social Media Management</x:v>
      </x:c>
      <x:c r="E19" s="27" t="str"/>
      <x:c r="F19" s="25" t="str">
        <x:f>IF(E19="","Missing",IF(TRIM(E19)=TRIM(D19),"Review: same as English","Translated"))</x:f>
        <x:v>Missing</x:v>
      </x:c>
      <x:c r="G19" s="27" t="str"/>
      <x:c r="H19" s="25" t="str">
        <x:f>IF(G19="","Missing",IF(TRIM(G19)=TRIM(D19),"Review: same as English","Translated"))</x:f>
        <x:v>Missing</x:v>
      </x:c>
      <x:c r="I19" s="27" t="str"/>
    </x:row>
    <x:row r="20" ht="20" customHeight="1">
      <x:c r="A20" s="25" t="n">
        <x:v>1</x:v>
      </x:c>
      <x:c r="B20" s="25" t="str">
        <x:v>content.subsections[1].bulletPoints[2]</x:v>
      </x:c>
      <x:c r="C20" s="25" t="str">
        <x:v>Module 1 subsection 2 bullet 3</x:v>
      </x:c>
      <x:c r="D20" s="25" t="str">
        <x:v>Content Creation</x:v>
      </x:c>
      <x:c r="E20" s="27" t="str"/>
      <x:c r="F20" s="25" t="str">
        <x:f>IF(E20="","Missing",IF(TRIM(E20)=TRIM(D20),"Review: same as English","Translated"))</x:f>
        <x:v>Missing</x:v>
      </x:c>
      <x:c r="G20" s="27" t="str"/>
      <x:c r="H20" s="25" t="str">
        <x:f>IF(G20="","Missing",IF(TRIM(G20)=TRIM(D20),"Review: same as English","Translated"))</x:f>
        <x:v>Missing</x:v>
      </x:c>
      <x:c r="I20" s="27" t="str"/>
    </x:row>
    <x:row r="21" ht="20" customHeight="1">
      <x:c r="A21" s="25" t="n">
        <x:v>1</x:v>
      </x:c>
      <x:c r="B21" s="25" t="str">
        <x:v>content.subsections[1].bulletPoints[3]</x:v>
      </x:c>
      <x:c r="C21" s="25" t="str">
        <x:v>Module 1 subsection 2 bullet 4</x:v>
      </x:c>
      <x:c r="D21" s="25" t="str">
        <x:v>Media and Advertising</x:v>
      </x:c>
      <x:c r="E21" s="27" t="str"/>
      <x:c r="F21" s="25" t="str">
        <x:f>IF(E21="","Missing",IF(TRIM(E21)=TRIM(D21),"Review: same as English","Translated"))</x:f>
        <x:v>Missing</x:v>
      </x:c>
      <x:c r="G21" s="27" t="str"/>
      <x:c r="H21" s="25" t="str">
        <x:f>IF(G21="","Missing",IF(TRIM(G21)=TRIM(D21),"Review: same as English","Translated"))</x:f>
        <x:v>Missing</x:v>
      </x:c>
      <x:c r="I21" s="27" t="str"/>
    </x:row>
    <x:row r="22" ht="20" customHeight="1">
      <x:c r="A22" s="25" t="n">
        <x:v>1</x:v>
      </x:c>
      <x:c r="B22" s="25" t="str">
        <x:v>content.subsections[1].bulletPoints[4]</x:v>
      </x:c>
      <x:c r="C22" s="25" t="str">
        <x:v>Module 1 subsection 2 bullet 5</x:v>
      </x:c>
      <x:c r="D22" s="25" t="str">
        <x:v>Branding and Creative Design</x:v>
      </x:c>
      <x:c r="E22" s="27" t="str"/>
      <x:c r="F22" s="25" t="str">
        <x:f>IF(E22="","Missing",IF(TRIM(E22)=TRIM(D22),"Review: same as English","Translated"))</x:f>
        <x:v>Missing</x:v>
      </x:c>
      <x:c r="G22" s="27" t="str"/>
      <x:c r="H22" s="25" t="str">
        <x:f>IF(G22="","Missing",IF(TRIM(G22)=TRIM(D22),"Review: same as English","Translated"))</x:f>
        <x:v>Missing</x:v>
      </x:c>
      <x:c r="I22" s="27" t="str"/>
    </x:row>
    <x:row r="23" ht="20" customHeight="1">
      <x:c r="A23" s="25" t="n">
        <x:v>1</x:v>
      </x:c>
      <x:c r="B23" s="25" t="str">
        <x:v>content.subsections[1].bulletPoints[5]</x:v>
      </x:c>
      <x:c r="C23" s="25" t="str">
        <x:v>Module 1 subsection 2 bullet 6</x:v>
      </x:c>
      <x:c r="D23" s="25" t="str">
        <x:v>Campaign Management</x:v>
      </x:c>
      <x:c r="E23" s="27" t="str"/>
      <x:c r="F23" s="25" t="str">
        <x:f>IF(E23="","Missing",IF(TRIM(E23)=TRIM(D23),"Review: same as English","Translated"))</x:f>
        <x:v>Missing</x:v>
      </x:c>
      <x:c r="G23" s="27" t="str"/>
      <x:c r="H23" s="25" t="str">
        <x:f>IF(G23="","Missing",IF(TRIM(G23)=TRIM(D23),"Review: same as English","Translated"))</x:f>
        <x:v>Missing</x:v>
      </x:c>
      <x:c r="I23" s="27" t="str"/>
    </x:row>
    <x:row r="24" ht="20" customHeight="1">
      <x:c r="A24" s="25" t="n">
        <x:v>1</x:v>
      </x:c>
      <x:c r="B24" s="25" t="str">
        <x:v>content.subsections[1].bulletPoints[6]</x:v>
      </x:c>
      <x:c r="C24" s="25" t="str">
        <x:v>Module 1 subsection 2 bullet 7</x:v>
      </x:c>
      <x:c r="D24" s="25" t="str">
        <x:v>Event and Activation Support</x:v>
      </x:c>
      <x:c r="E24" s="27" t="str"/>
      <x:c r="F24" s="25" t="str">
        <x:f>IF(E24="","Missing",IF(TRIM(E24)=TRIM(D24),"Review: same as English","Translated"))</x:f>
        <x:v>Missing</x:v>
      </x:c>
      <x:c r="G24" s="27" t="str"/>
      <x:c r="H24" s="25" t="str">
        <x:f>IF(G24="","Missing",IF(TRIM(G24)=TRIM(D24),"Review: same as English","Translated"))</x:f>
        <x:v>Missing</x:v>
      </x:c>
      <x:c r="I24" s="27" t="str"/>
    </x:row>
    <x:row r="25" ht="20" customHeight="1">
      <x:c r="A25" s="25" t="n">
        <x:v>1</x:v>
      </x:c>
      <x:c r="B25" s="25" t="str">
        <x:v>content.subsections[1].bulletPoints[7]</x:v>
      </x:c>
      <x:c r="C25" s="25" t="str">
        <x:v>Module 1 subsection 2 bullet 8</x:v>
      </x:c>
      <x:c r="D25" s="25" t="str">
        <x:v>Strategic Marketing Solutions</x:v>
      </x:c>
      <x:c r="E25" s="27" t="str"/>
      <x:c r="F25" s="25" t="str">
        <x:f>IF(E25="","Missing",IF(TRIM(E25)=TRIM(D25),"Review: same as English","Translated"))</x:f>
        <x:v>Missing</x:v>
      </x:c>
      <x:c r="G25" s="27" t="str"/>
      <x:c r="H25" s="25" t="str">
        <x:f>IF(G25="","Missing",IF(TRIM(G25)=TRIM(D25),"Review: same as English","Translated"))</x:f>
        <x:v>Missing</x:v>
      </x:c>
      <x:c r="I25" s="27" t="str"/>
    </x:row>
    <x:row r="26" ht="20" customHeight="1">
      <x:c r="A26" s="25" t="n">
        <x:v>1</x:v>
      </x:c>
      <x:c r="B26" s="25" t="str">
        <x:v>content.subsections[2].title</x:v>
      </x:c>
      <x:c r="C26" s="25" t="str">
        <x:v>Module 1 subsection 3 title</x:v>
      </x:c>
      <x:c r="D26" s="25" t="str">
        <x:v>3. VISION, MISSION &amp; CORE VALUES</x:v>
      </x:c>
      <x:c r="E26" s="27" t="str"/>
      <x:c r="F26" s="25" t="str">
        <x:f>IF(E26="","Missing",IF(TRIM(E26)=TRIM(D26),"Review: same as English","Translated"))</x:f>
        <x:v>Missing</x:v>
      </x:c>
      <x:c r="G26" s="27" t="str"/>
      <x:c r="H26" s="25" t="str">
        <x:f>IF(G26="","Missing",IF(TRIM(G26)=TRIM(D26),"Review: same as English","Translated"))</x:f>
        <x:v>Missing</x:v>
      </x:c>
      <x:c r="I26" s="27" t="str"/>
    </x:row>
    <x:row r="27" ht="48" customHeight="1">
      <x:c r="A27" s="25" t="n">
        <x:v>1</x:v>
      </x:c>
      <x:c r="B27" s="25" t="str">
        <x:v>content.subsections[2].paragraphs[0]</x:v>
      </x:c>
      <x:c r="C27" s="25" t="str">
        <x:v>Module 1 subsection 3 paragraph 1</x:v>
      </x:c>
      <x:c r="D27" s="25" t="str">
        <x:v>Our Vision: To become a leading and trusted marketing and media solutions company that inspires brands, drives innovation, and creates meaningful impact.</x:v>
      </x:c>
      <x:c r="E27" s="27" t="str"/>
      <x:c r="F27" s="25" t="str">
        <x:f>IF(E27="","Missing",IF(TRIM(E27)=TRIM(D27),"Review: same as English","Translated"))</x:f>
        <x:v>Missing</x:v>
      </x:c>
      <x:c r="G27" s="27" t="str"/>
      <x:c r="H27" s="25" t="str">
        <x:f>IF(G27="","Missing",IF(TRIM(G27)=TRIM(D27),"Review: same as English","Translated"))</x:f>
        <x:v>Missing</x:v>
      </x:c>
      <x:c r="I27" s="27" t="str"/>
    </x:row>
    <x:row r="28" ht="20" customHeight="1">
      <x:c r="A28" s="25" t="n">
        <x:v>1</x:v>
      </x:c>
      <x:c r="B28" s="25" t="str">
        <x:v>content.subsections[2].paragraphs[1]</x:v>
      </x:c>
      <x:c r="C28" s="25" t="str">
        <x:v>Module 1 subsection 3 paragraph 2</x:v>
      </x:c>
      <x:c r="D28" s="25" t="str">
        <x:v>Our Mission:</x:v>
      </x:c>
      <x:c r="E28" s="27" t="str"/>
      <x:c r="F28" s="25" t="str">
        <x:f>IF(E28="","Missing",IF(TRIM(E28)=TRIM(D28),"Review: same as English","Translated"))</x:f>
        <x:v>Missing</x:v>
      </x:c>
      <x:c r="G28" s="27" t="str"/>
      <x:c r="H28" s="25" t="str">
        <x:f>IF(G28="","Missing",IF(TRIM(G28)=TRIM(D28),"Review: same as English","Translated"))</x:f>
        <x:v>Missing</x:v>
      </x:c>
      <x:c r="I28" s="27" t="str"/>
    </x:row>
    <x:row r="29" ht="34" customHeight="1">
      <x:c r="A29" s="25" t="n">
        <x:v>1</x:v>
      </x:c>
      <x:c r="B29" s="25" t="str">
        <x:v>content.subsections[2].paragraphs[2]</x:v>
      </x:c>
      <x:c r="C29" s="25" t="str">
        <x:v>Module 1 subsection 3 paragraph 3</x:v>
      </x:c>
      <x:c r="D29" s="25" t="str">
        <x:v>• INFORM: Deliver meaningful information and strategic insights that empower brands and communities.</x:v>
      </x:c>
      <x:c r="E29" s="27" t="str"/>
      <x:c r="F29" s="25" t="str">
        <x:f>IF(E29="","Missing",IF(TRIM(E29)=TRIM(D29),"Review: same as English","Translated"))</x:f>
        <x:v>Missing</x:v>
      </x:c>
      <x:c r="G29" s="27" t="str"/>
      <x:c r="H29" s="25" t="str">
        <x:f>IF(G29="","Missing",IF(TRIM(G29)=TRIM(D29),"Review: same as English","Translated"))</x:f>
        <x:v>Missing</x:v>
      </x:c>
      <x:c r="I29" s="27" t="str"/>
    </x:row>
    <x:row r="30" ht="34" customHeight="1">
      <x:c r="A30" s="25" t="n">
        <x:v>1</x:v>
      </x:c>
      <x:c r="B30" s="25" t="str">
        <x:v>content.subsections[2].paragraphs[3]</x:v>
      </x:c>
      <x:c r="C30" s="25" t="str">
        <x:v>Module 1 subsection 3 paragraph 4</x:v>
      </x:c>
      <x:c r="D30" s="25" t="str">
        <x:v>• INSPIRE: Encourage creativity, innovation, and collaboration in everything we do.</x:v>
      </x:c>
      <x:c r="E30" s="27" t="str"/>
      <x:c r="F30" s="25" t="str">
        <x:f>IF(E30="","Missing",IF(TRIM(E30)=TRIM(D30),"Review: same as English","Translated"))</x:f>
        <x:v>Missing</x:v>
      </x:c>
      <x:c r="G30" s="27" t="str"/>
      <x:c r="H30" s="25" t="str">
        <x:f>IF(G30="","Missing",IF(TRIM(G30)=TRIM(D30),"Review: same as English","Translated"))</x:f>
        <x:v>Missing</x:v>
      </x:c>
      <x:c r="I30" s="27" t="str"/>
    </x:row>
    <x:row r="31" ht="34" customHeight="1">
      <x:c r="A31" s="25" t="n">
        <x:v>1</x:v>
      </x:c>
      <x:c r="B31" s="25" t="str">
        <x:v>content.subsections[2].paragraphs[4]</x:v>
      </x:c>
      <x:c r="C31" s="25" t="str">
        <x:v>Module 1 subsection 3 paragraph 5</x:v>
      </x:c>
      <x:c r="D31" s="25" t="str">
        <x:v>• IMPACT: Drive measurable results and create long-term value for our clients, employees, and stakeholders.</x:v>
      </x:c>
      <x:c r="E31" s="27" t="str"/>
      <x:c r="F31" s="25" t="str">
        <x:f>IF(E31="","Missing",IF(TRIM(E31)=TRIM(D31),"Review: same as English","Translated"))</x:f>
        <x:v>Missing</x:v>
      </x:c>
      <x:c r="G31" s="27" t="str"/>
      <x:c r="H31" s="25" t="str">
        <x:f>IF(G31="","Missing",IF(TRIM(G31)=TRIM(D31),"Review: same as English","Translated"))</x:f>
        <x:v>Missing</x:v>
      </x:c>
      <x:c r="I31" s="27" t="str"/>
    </x:row>
    <x:row r="32" ht="20" customHeight="1">
      <x:c r="A32" s="25" t="n">
        <x:v>1</x:v>
      </x:c>
      <x:c r="B32" s="25" t="str">
        <x:v>content.subsections[2].paragraphs[5]</x:v>
      </x:c>
      <x:c r="C32" s="25" t="str">
        <x:v>Module 1 subsection 3 paragraph 6</x:v>
      </x:c>
      <x:c r="D32" s="25" t="str">
        <x:v>Our Core Values:</x:v>
      </x:c>
      <x:c r="E32" s="27" t="str"/>
      <x:c r="F32" s="25" t="str">
        <x:f>IF(E32="","Missing",IF(TRIM(E32)=TRIM(D32),"Review: same as English","Translated"))</x:f>
        <x:v>Missing</x:v>
      </x:c>
      <x:c r="G32" s="27" t="str"/>
      <x:c r="H32" s="25" t="str">
        <x:f>IF(G32="","Missing",IF(TRIM(G32)=TRIM(D32),"Review: same as English","Translated"))</x:f>
        <x:v>Missing</x:v>
      </x:c>
      <x:c r="I32" s="27" t="str"/>
    </x:row>
    <x:row r="33" ht="34" customHeight="1">
      <x:c r="A33" s="25" t="n">
        <x:v>1</x:v>
      </x:c>
      <x:c r="B33" s="25" t="str">
        <x:v>content.subsections[2].bulletPoints[0]</x:v>
      </x:c>
      <x:c r="C33" s="25" t="str">
        <x:v>Module 1 subsection 3 bullet 1</x:v>
      </x:c>
      <x:c r="D33" s="25" t="str">
        <x:v>Accountability: We take ownership of our work, decisions, and outcomes.</x:v>
      </x:c>
      <x:c r="E33" s="27" t="str"/>
      <x:c r="F33" s="25" t="str">
        <x:f>IF(E33="","Missing",IF(TRIM(E33)=TRIM(D33),"Review: same as English","Translated"))</x:f>
        <x:v>Missing</x:v>
      </x:c>
      <x:c r="G33" s="27" t="str"/>
      <x:c r="H33" s="25" t="str">
        <x:f>IF(G33="","Missing",IF(TRIM(G33)=TRIM(D33),"Review: same as English","Translated"))</x:f>
        <x:v>Missing</x:v>
      </x:c>
      <x:c r="I33" s="27" t="str"/>
    </x:row>
    <x:row r="34" ht="34" customHeight="1">
      <x:c r="A34" s="25" t="n">
        <x:v>1</x:v>
      </x:c>
      <x:c r="B34" s="25" t="str">
        <x:v>content.subsections[2].bulletPoints[1]</x:v>
      </x:c>
      <x:c r="C34" s="25" t="str">
        <x:v>Module 1 subsection 3 bullet 2</x:v>
      </x:c>
      <x:c r="D34" s="25" t="str">
        <x:v>Professionalism: We conduct ourselves with integrity, respect, and responsibility.</x:v>
      </x:c>
      <x:c r="E34" s="27" t="str"/>
      <x:c r="F34" s="25" t="str">
        <x:f>IF(E34="","Missing",IF(TRIM(E34)=TRIM(D34),"Review: same as English","Translated"))</x:f>
        <x:v>Missing</x:v>
      </x:c>
      <x:c r="G34" s="27" t="str"/>
      <x:c r="H34" s="25" t="str">
        <x:f>IF(G34="","Missing",IF(TRIM(G34)=TRIM(D34),"Review: same as English","Translated"))</x:f>
        <x:v>Missing</x:v>
      </x:c>
      <x:c r="I34" s="27" t="str"/>
    </x:row>
    <x:row r="35" ht="34" customHeight="1">
      <x:c r="A35" s="25" t="n">
        <x:v>1</x:v>
      </x:c>
      <x:c r="B35" s="25" t="str">
        <x:v>content.subsections[2].bulletPoints[2]</x:v>
      </x:c>
      <x:c r="C35" s="25" t="str">
        <x:v>Module 1 subsection 3 bullet 3</x:v>
      </x:c>
      <x:c r="D35" s="25" t="str">
        <x:v>Collaboration: We believe teamwork creates stronger ideas and better results.</x:v>
      </x:c>
      <x:c r="E35" s="27" t="str"/>
      <x:c r="F35" s="25" t="str">
        <x:f>IF(E35="","Missing",IF(TRIM(E35)=TRIM(D35),"Review: same as English","Translated"))</x:f>
        <x:v>Missing</x:v>
      </x:c>
      <x:c r="G35" s="27" t="str"/>
      <x:c r="H35" s="25" t="str">
        <x:f>IF(G35="","Missing",IF(TRIM(G35)=TRIM(D35),"Review: same as English","Translated"))</x:f>
        <x:v>Missing</x:v>
      </x:c>
      <x:c r="I35" s="27" t="str"/>
    </x:row>
    <x:row r="36" ht="20" customHeight="1">
      <x:c r="A36" s="25" t="n">
        <x:v>1</x:v>
      </x:c>
      <x:c r="B36" s="25" t="str">
        <x:v>content.subsections[2].bulletPoints[3]</x:v>
      </x:c>
      <x:c r="C36" s="25" t="str">
        <x:v>Module 1 subsection 3 bullet 4</x:v>
      </x:c>
      <x:c r="D36" s="25" t="str">
        <x:v>Innovation: We continuously seek better and smarter solutions.</x:v>
      </x:c>
      <x:c r="E36" s="27" t="str"/>
      <x:c r="F36" s="25" t="str">
        <x:f>IF(E36="","Missing",IF(TRIM(E36)=TRIM(D36),"Review: same as English","Translated"))</x:f>
        <x:v>Missing</x:v>
      </x:c>
      <x:c r="G36" s="27" t="str"/>
      <x:c r="H36" s="25" t="str">
        <x:f>IF(G36="","Missing",IF(TRIM(G36)=TRIM(D36),"Review: same as English","Translated"))</x:f>
        <x:v>Missing</x:v>
      </x:c>
      <x:c r="I36" s="27" t="str"/>
    </x:row>
    <x:row r="37" ht="34" customHeight="1">
      <x:c r="A37" s="25" t="n">
        <x:v>1</x:v>
      </x:c>
      <x:c r="B37" s="25" t="str">
        <x:v>content.subsections[2].bulletPoints[4]</x:v>
      </x:c>
      <x:c r="C37" s="25" t="str">
        <x:v>Module 1 subsection 3 bullet 5</x:v>
      </x:c>
      <x:c r="D37" s="25" t="str">
        <x:v>Growth Mindset: We embrace learning, adaptability, and continuous improvement.</x:v>
      </x:c>
      <x:c r="E37" s="27" t="str"/>
      <x:c r="F37" s="25" t="str">
        <x:f>IF(E37="","Missing",IF(TRIM(E37)=TRIM(D37),"Review: same as English","Translated"))</x:f>
        <x:v>Missing</x:v>
      </x:c>
      <x:c r="G37" s="27" t="str"/>
      <x:c r="H37" s="25" t="str">
        <x:f>IF(G37="","Missing",IF(TRIM(G37)=TRIM(D37),"Review: same as English","Translated"))</x:f>
        <x:v>Missing</x:v>
      </x:c>
      <x:c r="I37" s="27" t="str"/>
    </x:row>
    <x:row r="38" ht="34" customHeight="1">
      <x:c r="A38" s="25" t="n">
        <x:v>1</x:v>
      </x:c>
      <x:c r="B38" s="25" t="str">
        <x:v>content.subsections[2].bulletPoints[5]</x:v>
      </x:c>
      <x:c r="C38" s="25" t="str">
        <x:v>Module 1 subsection 3 bullet 6</x:v>
      </x:c>
      <x:c r="D38" s="25" t="str">
        <x:v>Results Driven: We focus on achieving meaningful and measurable outcomes.</x:v>
      </x:c>
      <x:c r="E38" s="27" t="str"/>
      <x:c r="F38" s="25" t="str">
        <x:f>IF(E38="","Missing",IF(TRIM(E38)=TRIM(D38),"Review: same as English","Translated"))</x:f>
        <x:v>Missing</x:v>
      </x:c>
      <x:c r="G38" s="27" t="str"/>
      <x:c r="H38" s="25" t="str">
        <x:f>IF(G38="","Missing",IF(TRIM(G38)=TRIM(D38),"Review: same as English","Translated"))</x:f>
        <x:v>Missing</x:v>
      </x:c>
      <x:c r="I38" s="27" t="str"/>
    </x:row>
    <x:row r="39" ht="20" customHeight="1">
      <x:c r="A39" s="25" t="n">
        <x:v>1</x:v>
      </x:c>
      <x:c r="B39" s="25" t="str">
        <x:v>content.subsections[3].title</x:v>
      </x:c>
      <x:c r="C39" s="25" t="str">
        <x:v>Module 1 subsection 4 title</x:v>
      </x:c>
      <x:c r="D39" s="25" t="str">
        <x:v>4. PURPOSE OF THE EMPLOYEE HANDBOOK</x:v>
      </x:c>
      <x:c r="E39" s="27" t="str"/>
      <x:c r="F39" s="25" t="str">
        <x:f>IF(E39="","Missing",IF(TRIM(E39)=TRIM(D39),"Review: same as English","Translated"))</x:f>
        <x:v>Missing</x:v>
      </x:c>
      <x:c r="G39" s="27" t="str"/>
      <x:c r="H39" s="25" t="str">
        <x:f>IF(G39="","Missing",IF(TRIM(G39)=TRIM(D39),"Review: same as English","Translated"))</x:f>
        <x:v>Missing</x:v>
      </x:c>
      <x:c r="I39" s="27" t="str"/>
    </x:row>
    <x:row r="40" ht="20" customHeight="1">
      <x:c r="A40" s="25" t="n">
        <x:v>1</x:v>
      </x:c>
      <x:c r="B40" s="25" t="str">
        <x:v>content.subsections[3].paragraphs[0]</x:v>
      </x:c>
      <x:c r="C40" s="25" t="str">
        <x:v>Module 1 subsection 4 paragraph 1</x:v>
      </x:c>
      <x:c r="D40" s="25" t="str">
        <x:v>The purpose of this Employee Handbook is to:</x:v>
      </x:c>
      <x:c r="E40" s="27" t="str"/>
      <x:c r="F40" s="25" t="str">
        <x:f>IF(E40="","Missing",IF(TRIM(E40)=TRIM(D40),"Review: same as English","Translated"))</x:f>
        <x:v>Missing</x:v>
      </x:c>
      <x:c r="G40" s="27" t="str"/>
      <x:c r="H40" s="25" t="str">
        <x:f>IF(G40="","Missing",IF(TRIM(G40)=TRIM(D40),"Review: same as English","Translated"))</x:f>
        <x:v>Missing</x:v>
      </x:c>
      <x:c r="I40" s="27" t="str"/>
    </x:row>
    <x:row r="41" ht="34" customHeight="1">
      <x:c r="A41" s="25" t="n">
        <x:v>1</x:v>
      </x:c>
      <x:c r="B41" s="25" t="str">
        <x:v>content.subsections[3].bulletPoints[0]</x:v>
      </x:c>
      <x:c r="C41" s="25" t="str">
        <x:v>Module 1 subsection 4 bullet 1</x:v>
      </x:c>
      <x:c r="D41" s="25" t="str">
        <x:v>Provide employees with a clear understanding of Company policies and procedures.</x:v>
      </x:c>
      <x:c r="E41" s="27" t="str"/>
      <x:c r="F41" s="25" t="str">
        <x:f>IF(E41="","Missing",IF(TRIM(E41)=TRIM(D41),"Review: same as English","Translated"))</x:f>
        <x:v>Missing</x:v>
      </x:c>
      <x:c r="G41" s="27" t="str"/>
      <x:c r="H41" s="25" t="str">
        <x:f>IF(G41="","Missing",IF(TRIM(G41)=TRIM(D41),"Review: same as English","Translated"))</x:f>
        <x:v>Missing</x:v>
      </x:c>
      <x:c r="I41" s="27" t="str"/>
    </x:row>
    <x:row r="42" ht="20" customHeight="1">
      <x:c r="A42" s="25" t="n">
        <x:v>1</x:v>
      </x:c>
      <x:c r="B42" s="25" t="str">
        <x:v>content.subsections[3].bulletPoints[1]</x:v>
      </x:c>
      <x:c r="C42" s="25" t="str">
        <x:v>Module 1 subsection 4 bullet 2</x:v>
      </x:c>
      <x:c r="D42" s="25" t="str">
        <x:v>Establish expectations regarding conduct and performance.</x:v>
      </x:c>
      <x:c r="E42" s="27" t="str"/>
      <x:c r="F42" s="25" t="str">
        <x:f>IF(E42="","Missing",IF(TRIM(E42)=TRIM(D42),"Review: same as English","Translated"))</x:f>
        <x:v>Missing</x:v>
      </x:c>
      <x:c r="G42" s="27" t="str"/>
      <x:c r="H42" s="25" t="str">
        <x:f>IF(G42="","Missing",IF(TRIM(G42)=TRIM(D42),"Review: same as English","Translated"))</x:f>
        <x:v>Missing</x:v>
      </x:c>
      <x:c r="I42" s="27" t="str"/>
    </x:row>
    <x:row r="43" ht="34" customHeight="1">
      <x:c r="A43" s="25" t="n">
        <x:v>1</x:v>
      </x:c>
      <x:c r="B43" s="25" t="str">
        <x:v>content.subsections[3].bulletPoints[2]</x:v>
      </x:c>
      <x:c r="C43" s="25" t="str">
        <x:v>Module 1 subsection 4 bullet 3</x:v>
      </x:c>
      <x:c r="D43" s="25" t="str">
        <x:v>Promote consistency and fairness in the administration of employment practices.</x:v>
      </x:c>
      <x:c r="E43" s="27" t="str"/>
      <x:c r="F43" s="25" t="str">
        <x:f>IF(E43="","Missing",IF(TRIM(E43)=TRIM(D43),"Review: same as English","Translated"))</x:f>
        <x:v>Missing</x:v>
      </x:c>
      <x:c r="G43" s="27" t="str"/>
      <x:c r="H43" s="25" t="str">
        <x:f>IF(G43="","Missing",IF(TRIM(G43)=TRIM(D43),"Review: same as English","Translated"))</x:f>
        <x:v>Missing</x:v>
      </x:c>
      <x:c r="I43" s="27" t="str"/>
    </x:row>
    <x:row r="44" ht="20" customHeight="1">
      <x:c r="A44" s="25" t="n">
        <x:v>1</x:v>
      </x:c>
      <x:c r="B44" s="25" t="str">
        <x:v>content.subsections[3].bulletPoints[3]</x:v>
      </x:c>
      <x:c r="C44" s="25" t="str">
        <x:v>Module 1 subsection 4 bullet 4</x:v>
      </x:c>
      <x:c r="D44" s="25" t="str">
        <x:v>Ensure compliance with applicable employment laws and regulations.</x:v>
      </x:c>
      <x:c r="E44" s="27" t="str"/>
      <x:c r="F44" s="25" t="str">
        <x:f>IF(E44="","Missing",IF(TRIM(E44)=TRIM(D44),"Review: same as English","Translated"))</x:f>
        <x:v>Missing</x:v>
      </x:c>
      <x:c r="G44" s="27" t="str"/>
      <x:c r="H44" s="25" t="str">
        <x:f>IF(G44="","Missing",IF(TRIM(G44)=TRIM(D44),"Review: same as English","Translated"))</x:f>
        <x:v>Missing</x:v>
      </x:c>
      <x:c r="I44" s="27" t="str"/>
    </x:row>
    <x:row r="45" ht="20" customHeight="1">
      <x:c r="A45" s="25" t="n">
        <x:v>1</x:v>
      </x:c>
      <x:c r="B45" s="25" t="str">
        <x:v>content.subsections[3].bulletPoints[4]</x:v>
      </x:c>
      <x:c r="C45" s="25" t="str">
        <x:v>Module 1 subsection 4 bullet 5</x:v>
      </x:c>
      <x:c r="D45" s="25" t="str">
        <x:v>Provide guidance on employee rights, responsibilities, and benefits.</x:v>
      </x:c>
      <x:c r="E45" s="27" t="str"/>
      <x:c r="F45" s="25" t="str">
        <x:f>IF(E45="","Missing",IF(TRIM(E45)=TRIM(D45),"Review: same as English","Translated"))</x:f>
        <x:v>Missing</x:v>
      </x:c>
      <x:c r="G45" s="27" t="str"/>
      <x:c r="H45" s="25" t="str">
        <x:f>IF(G45="","Missing",IF(TRIM(G45)=TRIM(D45),"Review: same as English","Translated"))</x:f>
        <x:v>Missing</x:v>
      </x:c>
      <x:c r="I45" s="27" t="str"/>
    </x:row>
    <x:row r="46" ht="20" customHeight="1">
      <x:c r="A46" s="25" t="n">
        <x:v>1</x:v>
      </x:c>
      <x:c r="B46" s="25" t="str">
        <x:v>content.subsections[3].bulletPoints[5]</x:v>
      </x:c>
      <x:c r="C46" s="25" t="str">
        <x:v>Module 1 subsection 4 bullet 6</x:v>
      </x:c>
      <x:c r="D46" s="25" t="str">
        <x:v>Foster a safe, respectful, and productive workplace.</x:v>
      </x:c>
      <x:c r="E46" s="27" t="str"/>
      <x:c r="F46" s="25" t="str">
        <x:f>IF(E46="","Missing",IF(TRIM(E46)=TRIM(D46),"Review: same as English","Translated"))</x:f>
        <x:v>Missing</x:v>
      </x:c>
      <x:c r="G46" s="27" t="str"/>
      <x:c r="H46" s="25" t="str">
        <x:f>IF(G46="","Missing",IF(TRIM(G46)=TRIM(D46),"Review: same as English","Translated"))</x:f>
        <x:v>Missing</x:v>
      </x:c>
      <x:c r="I46" s="27" t="str"/>
    </x:row>
    <x:row r="47" ht="20" customHeight="1">
      <x:c r="A47" s="25" t="n">
        <x:v>1</x:v>
      </x:c>
      <x:c r="B47" s="25" t="str">
        <x:v>content.subsections[4].title</x:v>
      </x:c>
      <x:c r="C47" s="25" t="str">
        <x:v>Module 1 subsection 5 title</x:v>
      </x:c>
      <x:c r="D47" s="25" t="str">
        <x:v>5. SCOPE AND APPLICABILITY</x:v>
      </x:c>
      <x:c r="E47" s="27" t="str"/>
      <x:c r="F47" s="25" t="str">
        <x:f>IF(E47="","Missing",IF(TRIM(E47)=TRIM(D47),"Review: same as English","Translated"))</x:f>
        <x:v>Missing</x:v>
      </x:c>
      <x:c r="G47" s="27" t="str"/>
      <x:c r="H47" s="25" t="str">
        <x:f>IF(G47="","Missing",IF(TRIM(G47)=TRIM(D47),"Review: same as English","Translated"))</x:f>
        <x:v>Missing</x:v>
      </x:c>
      <x:c r="I47" s="27" t="str"/>
    </x:row>
    <x:row r="48" ht="48" customHeight="1">
      <x:c r="A48" s="25" t="n">
        <x:v>1</x:v>
      </x:c>
      <x:c r="B48" s="25" t="str">
        <x:v>content.subsections[4].paragraphs[0]</x:v>
      </x:c>
      <x:c r="C48" s="25" t="str">
        <x:v>Module 1 subsection 5 paragraph 1</x:v>
      </x:c>
      <x:c r="D48" s="25" t="str">
        <x:v>This Employee Handbook applies to all employees of RedPoint Sdn Bhd, including Permanent Employees, Probationary Employees, Fixed-Term Contract Employees, Part-Time Employees, Interns and Trainees.</x:v>
      </x:c>
      <x:c r="E48" s="27" t="str"/>
      <x:c r="F48" s="25" t="str">
        <x:f>IF(E48="","Missing",IF(TRIM(E48)=TRIM(D48),"Review: same as English","Translated"))</x:f>
        <x:v>Missing</x:v>
      </x:c>
      <x:c r="G48" s="27" t="str"/>
      <x:c r="H48" s="25" t="str">
        <x:f>IF(G48="","Missing",IF(TRIM(G48)=TRIM(D48),"Review: same as English","Translated"))</x:f>
        <x:v>Missing</x:v>
      </x:c>
      <x:c r="I48" s="27" t="str"/>
    </x:row>
    <x:row r="49" ht="48" customHeight="1">
      <x:c r="A49" s="25" t="n">
        <x:v>1</x:v>
      </x:c>
      <x:c r="B49" s="25" t="str">
        <x:v>content.subsections[4].paragraphs[1]</x:v>
      </x:c>
      <x:c r="C49" s="25" t="str">
        <x:v>Module 1 subsection 5 paragraph 2</x:v>
      </x:c>
      <x:c r="D49" s="25" t="str">
        <x:v>Certain provisions may also apply to consultants, freelancers, and temporary workers where expressly stated or where access to Company systems, information, or premises is involved.</x:v>
      </x:c>
      <x:c r="E49" s="27" t="str"/>
      <x:c r="F49" s="25" t="str">
        <x:f>IF(E49="","Missing",IF(TRIM(E49)=TRIM(D49),"Review: same as English","Translated"))</x:f>
        <x:v>Missing</x:v>
      </x:c>
      <x:c r="G49" s="27" t="str"/>
      <x:c r="H49" s="25" t="str">
        <x:f>IF(G49="","Missing",IF(TRIM(G49)=TRIM(D49),"Review: same as English","Translated"))</x:f>
        <x:v>Missing</x:v>
      </x:c>
      <x:c r="I49" s="27" t="str"/>
    </x:row>
    <x:row r="50" ht="48" customHeight="1">
      <x:c r="A50" s="25" t="n">
        <x:v>1</x:v>
      </x:c>
      <x:c r="B50" s="25" t="str">
        <x:v>content.subsections[4].paragraphs[2]</x:v>
      </x:c>
      <x:c r="C50" s="25" t="str">
        <x:v>Module 1 subsection 5 paragraph 3</x:v>
      </x:c>
      <x:c r="D50" s="25" t="str">
        <x:v>Employees are expected to familiarise themselves with and comply with the policies contained in this Handbook. Failure to comply with Company policies may result in disciplinary action.</x:v>
      </x:c>
      <x:c r="E50" s="27" t="str"/>
      <x:c r="F50" s="25" t="str">
        <x:f>IF(E50="","Missing",IF(TRIM(E50)=TRIM(D50),"Review: same as English","Translated"))</x:f>
        <x:v>Missing</x:v>
      </x:c>
      <x:c r="G50" s="27" t="str"/>
      <x:c r="H50" s="25" t="str">
        <x:f>IF(G50="","Missing",IF(TRIM(G50)=TRIM(D50),"Review: same as English","Translated"))</x:f>
        <x:v>Missing</x:v>
      </x:c>
      <x:c r="I50" s="27" t="str"/>
    </x:row>
    <x:row r="51" ht="20" customHeight="1">
      <x:c r="A51" s="25" t="n">
        <x:v>1</x:v>
      </x:c>
      <x:c r="B51" s="25" t="str">
        <x:v>content.subsections[5].title</x:v>
      </x:c>
      <x:c r="C51" s="25" t="str">
        <x:v>Module 1 subsection 6 title</x:v>
      </x:c>
      <x:c r="D51" s="25" t="str">
        <x:v>6. DEFINITIONS AND INTERPRETATION</x:v>
      </x:c>
      <x:c r="E51" s="27" t="str"/>
      <x:c r="F51" s="25" t="str">
        <x:f>IF(E51="","Missing",IF(TRIM(E51)=TRIM(D51),"Review: same as English","Translated"))</x:f>
        <x:v>Missing</x:v>
      </x:c>
      <x:c r="G51" s="27" t="str"/>
      <x:c r="H51" s="25" t="str">
        <x:f>IF(G51="","Missing",IF(TRIM(G51)=TRIM(D51),"Review: same as English","Translated"))</x:f>
        <x:v>Missing</x:v>
      </x:c>
      <x:c r="I51" s="27" t="str"/>
    </x:row>
    <x:row r="52" ht="20" customHeight="1">
      <x:c r="A52" s="25" t="n">
        <x:v>1</x:v>
      </x:c>
      <x:c r="B52" s="25" t="str">
        <x:v>content.subsections[5].paragraphs[0]</x:v>
      </x:c>
      <x:c r="C52" s="25" t="str">
        <x:v>Module 1 subsection 6 paragraph 1</x:v>
      </x:c>
      <x:c r="D52" s="25" t="str">
        <x:v>For the purposes of this Handbook:</x:v>
      </x:c>
      <x:c r="E52" s="27" t="str"/>
      <x:c r="F52" s="25" t="str">
        <x:f>IF(E52="","Missing",IF(TRIM(E52)=TRIM(D52),"Review: same as English","Translated"))</x:f>
        <x:v>Missing</x:v>
      </x:c>
      <x:c r="G52" s="27" t="str"/>
      <x:c r="H52" s="25" t="str">
        <x:f>IF(G52="","Missing",IF(TRIM(G52)=TRIM(D52),"Review: same as English","Translated"))</x:f>
        <x:v>Missing</x:v>
      </x:c>
      <x:c r="I52" s="27" t="str"/>
    </x:row>
    <x:row r="53" ht="34" customHeight="1">
      <x:c r="A53" s="25" t="n">
        <x:v>1</x:v>
      </x:c>
      <x:c r="B53" s="25" t="str">
        <x:v>content.subsections[5].paragraphs[1]</x:v>
      </x:c>
      <x:c r="C53" s="25" t="str">
        <x:v>Module 1 subsection 6 paragraph 2</x:v>
      </x:c>
      <x:c r="D53" s="25" t="str">
        <x:v>• "Company": Means RedPoint Sdn Bhd and any subsidiaries, affiliated entities, or related companies where applicable.</x:v>
      </x:c>
      <x:c r="E53" s="27" t="str"/>
      <x:c r="F53" s="25" t="str">
        <x:f>IF(E53="","Missing",IF(TRIM(E53)=TRIM(D53),"Review: same as English","Translated"))</x:f>
        <x:v>Missing</x:v>
      </x:c>
      <x:c r="G53" s="27" t="str"/>
      <x:c r="H53" s="25" t="str">
        <x:f>IF(G53="","Missing",IF(TRIM(G53)=TRIM(D53),"Review: same as English","Translated"))</x:f>
        <x:v>Missing</x:v>
      </x:c>
      <x:c r="I53" s="27" t="str"/>
    </x:row>
    <x:row r="54" ht="34" customHeight="1">
      <x:c r="A54" s="25" t="n">
        <x:v>1</x:v>
      </x:c>
      <x:c r="B54" s="25" t="str">
        <x:v>content.subsections[5].paragraphs[2]</x:v>
      </x:c>
      <x:c r="C54" s="25" t="str">
        <x:v>Module 1 subsection 6 paragraph 3</x:v>
      </x:c>
      <x:c r="D54" s="25" t="str">
        <x:v>• "Employee": Means any person employed by the Company under a contract of service.</x:v>
      </x:c>
      <x:c r="E54" s="27" t="str"/>
      <x:c r="F54" s="25" t="str">
        <x:f>IF(E54="","Missing",IF(TRIM(E54)=TRIM(D54),"Review: same as English","Translated"))</x:f>
        <x:v>Missing</x:v>
      </x:c>
      <x:c r="G54" s="27" t="str"/>
      <x:c r="H54" s="25" t="str">
        <x:f>IF(G54="","Missing",IF(TRIM(G54)=TRIM(D54),"Review: same as English","Translated"))</x:f>
        <x:v>Missing</x:v>
      </x:c>
      <x:c r="I54" s="27" t="str"/>
    </x:row>
    <x:row r="55" ht="34" customHeight="1">
      <x:c r="A55" s="25" t="n">
        <x:v>1</x:v>
      </x:c>
      <x:c r="B55" s="25" t="str">
        <x:v>content.subsections[5].paragraphs[3]</x:v>
      </x:c>
      <x:c r="C55" s="25" t="str">
        <x:v>Module 1 subsection 6 paragraph 4</x:v>
      </x:c>
      <x:c r="D55" s="25" t="str">
        <x:v>• "Management": Means Directors, Department Heads, Managers, or any person authorised by the Company to make decisions on its behalf.</x:v>
      </x:c>
      <x:c r="E55" s="27" t="str"/>
      <x:c r="F55" s="25" t="str">
        <x:f>IF(E55="","Missing",IF(TRIM(E55)=TRIM(D55),"Review: same as English","Translated"))</x:f>
        <x:v>Missing</x:v>
      </x:c>
      <x:c r="G55" s="27" t="str"/>
      <x:c r="H55" s="25" t="str">
        <x:f>IF(G55="","Missing",IF(TRIM(G55)=TRIM(D55),"Review: same as English","Translated"))</x:f>
        <x:v>Missing</x:v>
      </x:c>
      <x:c r="I55" s="27" t="str"/>
    </x:row>
    <x:row r="56" ht="34" customHeight="1">
      <x:c r="A56" s="25" t="n">
        <x:v>1</x:v>
      </x:c>
      <x:c r="B56" s="25" t="str">
        <x:v>content.subsections[5].paragraphs[4]</x:v>
      </x:c>
      <x:c r="C56" s="25" t="str">
        <x:v>Module 1 subsection 6 paragraph 5</x:v>
      </x:c>
      <x:c r="D56" s="25" t="str">
        <x:v>• "Supervisor": Means an employee's immediate reporting manager or any authorised representative of the Company.</x:v>
      </x:c>
      <x:c r="E56" s="27" t="str"/>
      <x:c r="F56" s="25" t="str">
        <x:f>IF(E56="","Missing",IF(TRIM(E56)=TRIM(D56),"Review: same as English","Translated"))</x:f>
        <x:v>Missing</x:v>
      </x:c>
      <x:c r="G56" s="27" t="str"/>
      <x:c r="H56" s="25" t="str">
        <x:f>IF(G56="","Missing",IF(TRIM(G56)=TRIM(D56),"Review: same as English","Translated"))</x:f>
        <x:v>Missing</x:v>
      </x:c>
      <x:c r="I56" s="27" t="str"/>
    </x:row>
    <x:row r="57" ht="48" customHeight="1">
      <x:c r="A57" s="25" t="n">
        <x:v>1</x:v>
      </x:c>
      <x:c r="B57" s="25" t="str">
        <x:v>content.subsections[5].paragraphs[5]</x:v>
      </x:c>
      <x:c r="C57" s="25" t="str">
        <x:v>Module 1 subsection 6 paragraph 6</x:v>
      </x:c>
      <x:c r="D57" s="25" t="str">
        <x:v>• "Handbook": Means this Employee Handbook, including all amendments, policies, procedures, appendices, and guidelines issued by the Company.</x:v>
      </x:c>
      <x:c r="E57" s="27" t="str"/>
      <x:c r="F57" s="25" t="str">
        <x:f>IF(E57="","Missing",IF(TRIM(E57)=TRIM(D57),"Review: same as English","Translated"))</x:f>
        <x:v>Missing</x:v>
      </x:c>
      <x:c r="G57" s="27" t="str"/>
      <x:c r="H57" s="25" t="str">
        <x:f>IF(G57="","Missing",IF(TRIM(G57)=TRIM(D57),"Review: same as English","Translated"))</x:f>
        <x:v>Missing</x:v>
      </x:c>
      <x:c r="I57" s="27" t="str"/>
    </x:row>
    <x:row r="58" ht="34" customHeight="1">
      <x:c r="A58" s="25" t="n">
        <x:v>1</x:v>
      </x:c>
      <x:c r="B58" s="25" t="str">
        <x:v>content.subsections[5].paragraphs[6]</x:v>
      </x:c>
      <x:c r="C58" s="25" t="str">
        <x:v>Module 1 subsection 6 paragraph 7</x:v>
      </x:c>
      <x:c r="D58" s="25" t="str">
        <x:v>• "Working Day": Means a day on which an employee is required to perform work according to his or her work schedule.</x:v>
      </x:c>
      <x:c r="E58" s="27" t="str"/>
      <x:c r="F58" s="25" t="str">
        <x:f>IF(E58="","Missing",IF(TRIM(E58)=TRIM(D58),"Review: same as English","Translated"))</x:f>
        <x:v>Missing</x:v>
      </x:c>
      <x:c r="G58" s="27" t="str"/>
      <x:c r="H58" s="25" t="str">
        <x:f>IF(G58="","Missing",IF(TRIM(G58)=TRIM(D58),"Review: same as English","Translated"))</x:f>
        <x:v>Missing</x:v>
      </x:c>
      <x:c r="I58" s="27" t="str"/>
    </x:row>
    <x:row r="59" ht="34" customHeight="1">
      <x:c r="A59" s="25" t="n">
        <x:v>1</x:v>
      </x:c>
      <x:c r="B59" s="25" t="str">
        <x:v>content.subsections[5].paragraphs[7]</x:v>
      </x:c>
      <x:c r="C59" s="25" t="str">
        <x:v>Module 1 subsection 6 paragraph 8</x:v>
      </x:c>
      <x:c r="D59" s="25" t="str">
        <x:v>• "Policy": Means any rule, procedure, guideline, instruction, or directive issued by the Company.</x:v>
      </x:c>
      <x:c r="E59" s="27" t="str"/>
      <x:c r="F59" s="25" t="str">
        <x:f>IF(E59="","Missing",IF(TRIM(E59)=TRIM(D59),"Review: same as English","Translated"))</x:f>
        <x:v>Missing</x:v>
      </x:c>
      <x:c r="G59" s="27" t="str"/>
      <x:c r="H59" s="25" t="str">
        <x:f>IF(G59="","Missing",IF(TRIM(G59)=TRIM(D59),"Review: same as English","Translated"))</x:f>
        <x:v>Missing</x:v>
      </x:c>
      <x:c r="I59" s="27" t="str"/>
    </x:row>
    <x:row r="60" ht="20" customHeight="1">
      <x:c r="A60" s="25" t="n">
        <x:v>1</x:v>
      </x:c>
      <x:c r="B60" s="25" t="str">
        <x:v>content.subsections[6].title</x:v>
      </x:c>
      <x:c r="C60" s="25" t="str">
        <x:v>Module 1 subsection 7 title</x:v>
      </x:c>
      <x:c r="D60" s="25" t="str">
        <x:v>7. AMENDMENTS AND RESERVATION OF RIGHTS</x:v>
      </x:c>
      <x:c r="E60" s="27" t="str"/>
      <x:c r="F60" s="25" t="str">
        <x:f>IF(E60="","Missing",IF(TRIM(E60)=TRIM(D60),"Review: same as English","Translated"))</x:f>
        <x:v>Missing</x:v>
      </x:c>
      <x:c r="G60" s="27" t="str"/>
      <x:c r="H60" s="25" t="str">
        <x:f>IF(G60="","Missing",IF(TRIM(G60)=TRIM(D60),"Review: same as English","Translated"))</x:f>
        <x:v>Missing</x:v>
      </x:c>
      <x:c r="I60" s="27" t="str"/>
    </x:row>
    <x:row r="61" ht="62" customHeight="1">
      <x:c r="A61" s="25" t="n">
        <x:v>1</x:v>
      </x:c>
      <x:c r="B61" s="25" t="str">
        <x:v>content.subsections[6].paragraphs[0]</x:v>
      </x:c>
      <x:c r="C61" s="25" t="str">
        <x:v>Module 1 subsection 7 paragraph 1</x:v>
      </x:c>
      <x:c r="D61" s="25" t="str">
        <x:v>The Company reserves the right to Amend, Modify, Update, Revoke, or Introduce any policy, procedure, rule, or guideline contained in this Handbook at any time in accordance with operational requirements and applicable laws.</x:v>
      </x:c>
      <x:c r="E61" s="27" t="str"/>
      <x:c r="F61" s="25" t="str">
        <x:f>IF(E61="","Missing",IF(TRIM(E61)=TRIM(D61),"Review: same as English","Translated"))</x:f>
        <x:v>Missing</x:v>
      </x:c>
      <x:c r="G61" s="27" t="str"/>
      <x:c r="H61" s="25" t="str">
        <x:f>IF(G61="","Missing",IF(TRIM(G61)=TRIM(D61),"Review: same as English","Translated"))</x:f>
        <x:v>Missing</x:v>
      </x:c>
      <x:c r="I61" s="27" t="str"/>
    </x:row>
    <x:row r="62" ht="48" customHeight="1">
      <x:c r="A62" s="25" t="n">
        <x:v>1</x:v>
      </x:c>
      <x:c r="B62" s="25" t="str">
        <x:v>content.subsections[6].paragraphs[1]</x:v>
      </x:c>
      <x:c r="C62" s="25" t="str">
        <x:v>Module 1 subsection 7 paragraph 2</x:v>
      </x:c>
      <x:c r="D62" s="25" t="str">
        <x:v>Any amendments shall become effective on the date determined by the Company and may be communicated through Circulars, Email, Company Communication Platforms, Employee Notices, or Updated Handbook Versions.</x:v>
      </x:c>
      <x:c r="E62" s="27" t="str"/>
      <x:c r="F62" s="25" t="str">
        <x:f>IF(E62="","Missing",IF(TRIM(E62)=TRIM(D62),"Review: same as English","Translated"))</x:f>
        <x:v>Missing</x:v>
      </x:c>
      <x:c r="G62" s="27" t="str"/>
      <x:c r="H62" s="25" t="str">
        <x:f>IF(G62="","Missing",IF(TRIM(G62)=TRIM(D62),"Review: same as English","Translated"))</x:f>
        <x:v>Missing</x:v>
      </x:c>
      <x:c r="I62" s="27" t="str"/>
    </x:row>
    <x:row r="63" ht="48" customHeight="1">
      <x:c r="A63" s="25" t="n">
        <x:v>1</x:v>
      </x:c>
      <x:c r="B63" s="25" t="str">
        <x:v>content.subsections[6].paragraphs[2]</x:v>
      </x:c>
      <x:c r="C63" s="25" t="str">
        <x:v>Module 1 subsection 7 paragraph 3</x:v>
      </x:c>
      <x:c r="D63" s="25" t="str">
        <x:v>This Handbook does not constitute a guarantee of employment or create contractual rights beyond those contained in an employee's Employment Contract or applicable laws.</x:v>
      </x:c>
      <x:c r="E63" s="27" t="str"/>
      <x:c r="F63" s="25" t="str">
        <x:f>IF(E63="","Missing",IF(TRIM(E63)=TRIM(D63),"Review: same as English","Translated"))</x:f>
        <x:v>Missing</x:v>
      </x:c>
      <x:c r="G63" s="27" t="str"/>
      <x:c r="H63" s="25" t="str">
        <x:f>IF(G63="","Missing",IF(TRIM(G63)=TRIM(D63),"Review: same as English","Translated"))</x:f>
        <x:v>Missing</x:v>
      </x:c>
      <x:c r="I63" s="27" t="str"/>
    </x:row>
    <x:row r="64" ht="34" customHeight="1">
      <x:c r="A64" s="25" t="n">
        <x:v>1</x:v>
      </x:c>
      <x:c r="B64" s="25" t="str">
        <x:v>content.keyTakeaway</x:v>
      </x:c>
      <x:c r="C64" s="25" t="str">
        <x:v>Module 1 key takeaway</x:v>
      </x:c>
      <x:c r="D64" s="25" t="str">
        <x:v>One Team. One Vision. Limitless Possibilities.</x:v>
      </x:c>
      <x:c r="E64" s="27" t="str">
        <x:v>Portal suai kenal anda ialah panduan rujukan pusat anda sepanjang kerjaya anda di Red Point.</x:v>
      </x:c>
      <x:c r="F64" s="25" t="str">
        <x:f>IF(E64="","Missing",IF(TRIM(E64)=TRIM(D64),"Review: same as English","Translated"))</x:f>
        <x:v>Translated</x:v>
      </x:c>
      <x:c r="G64" s="27" t="str">
        <x:v>入职门户是您在 Red Point 职业生涯全程的核心参考指南。</x:v>
      </x:c>
      <x:c r="H64" s="25" t="str">
        <x:f>IF(G64="","Missing",IF(TRIM(G64)=TRIM(D64),"Review: same as English","Translated"))</x:f>
        <x:v>Translated</x:v>
      </x:c>
      <x:c r="I64" s="27" t="str"/>
    </x:row>
    <x:row r="65" ht="20" customHeight="1">
      <x:c r="A65" s="25" t="n">
        <x:v>2</x:v>
      </x:c>
      <x:c r="B65" s="25" t="str">
        <x:v>title</x:v>
      </x:c>
      <x:c r="C65" s="25" t="str">
        <x:v>Module 2 title</x:v>
      </x:c>
      <x:c r="D65" s="25" t="str">
        <x:v>Part 2 – Employment Administration</x:v>
      </x:c>
      <x:c r="E65" s="27" t="str">
        <x:v>2. Tata Etika Kerja</x:v>
      </x:c>
      <x:c r="F65" s="25" t="str">
        <x:f>IF(E65="","Missing",IF(TRIM(E65)=TRIM(D65),"Review: same as English","Translated"))</x:f>
        <x:v>Translated</x:v>
      </x:c>
      <x:c r="G65" s="27" t="str">
        <x:v>2. 行为准则与道德规范</x:v>
      </x:c>
      <x:c r="H65" s="25" t="str">
        <x:f>IF(G65="","Missing",IF(TRIM(G65)=TRIM(D65),"Review: same as English","Translated"))</x:f>
        <x:v>Translated</x:v>
      </x:c>
      <x:c r="I65" s="27" t="str"/>
    </x:row>
    <x:row r="66" ht="34" customHeight="1">
      <x:c r="A66" s="25" t="n">
        <x:v>2</x:v>
      </x:c>
      <x:c r="B66" s="25" t="str">
        <x:v>subtitle</x:v>
      </x:c>
      <x:c r="C66" s="25" t="str">
        <x:v>Module 2 subtitle</x:v>
      </x:c>
      <x:c r="D66" s="25" t="str">
        <x:v>Employment categories, EEO, recruitment workflow, employment contracts, personal records &amp; confidentiality</x:v>
      </x:c>
      <x:c r="E66" s="27" t="str">
        <x:v>Etika, konflik kepentingan, integriti profesional, dan hadiah</x:v>
      </x:c>
      <x:c r="F66" s="25" t="str">
        <x:f>IF(E66="","Missing",IF(TRIM(E66)=TRIM(D66),"Review: same as English","Translated"))</x:f>
        <x:v>Translated</x:v>
      </x:c>
      <x:c r="G66" s="27" t="str">
        <x:v>职业道德、利益冲突、专业诚信及礼品收受政策</x:v>
      </x:c>
      <x:c r="H66" s="25" t="str">
        <x:f>IF(G66="","Missing",IF(TRIM(G66)=TRIM(D66),"Review: same as English","Translated"))</x:f>
        <x:v>Translated</x:v>
      </x:c>
      <x:c r="I66" s="27" t="str"/>
    </x:row>
    <x:row r="67" ht="20" customHeight="1">
      <x:c r="A67" s="25" t="n">
        <x:v>2</x:v>
      </x:c>
      <x:c r="B67" s="25" t="str">
        <x:v>content.sectionTitle</x:v>
      </x:c>
      <x:c r="C67" s="25" t="str">
        <x:v>Module 2 section heading</x:v>
      </x:c>
      <x:c r="D67" s="25" t="str">
        <x:v>PART 2 – EMPLOYMENT ADMINISTRATION</x:v>
      </x:c>
      <x:c r="E67" s="27" t="str">
        <x:v>Integriti Profesional &amp; Konflik Kepentingan</x:v>
      </x:c>
      <x:c r="F67" s="25" t="str">
        <x:f>IF(E67="","Missing",IF(TRIM(E67)=TRIM(D67),"Review: same as English","Translated"))</x:f>
        <x:v>Translated</x:v>
      </x:c>
      <x:c r="G67" s="27" t="str">
        <x:v>专业诚信与利益冲突</x:v>
      </x:c>
      <x:c r="H67" s="25" t="str">
        <x:f>IF(G67="","Missing",IF(TRIM(G67)=TRIM(D67),"Review: same as English","Translated"))</x:f>
        <x:v>Translated</x:v>
      </x:c>
      <x:c r="I67" s="27" t="str"/>
    </x:row>
    <x:row r="68" ht="48" customHeight="1">
      <x:c r="A68" s="25" t="n">
        <x:v>2</x:v>
      </x:c>
      <x:c r="B68" s="25" t="str">
        <x:v>content.bodyParagraphs[0]</x:v>
      </x:c>
      <x:c r="C68" s="25" t="str">
        <x:v>Module 2 opening paragraph 1</x:v>
      </x:c>
      <x:c r="D68" s="25" t="str">
        <x:v>The Company employs individuals under various employment arrangements depending on operational requirements and business needs. The applicable employment category shall be stated in the Employment Contract.</x:v>
      </x:c>
      <x:c r="E68" s="27" t="str">
        <x:v>Di Red Point, Tata Etika Kerja kami adalah asas budaya korporat kami. Kami percaya dalam memupuk persekitaran saling menghormati, integriti, dan kecemerlangan profesional mutlak.</x:v>
      </x:c>
      <x:c r="F68" s="25" t="str">
        <x:f>IF(E68="","Missing",IF(TRIM(E68)=TRIM(D68),"Review: same as English","Translated"))</x:f>
        <x:v>Translated</x:v>
      </x:c>
      <x:c r="G68" s="27" t="str">
        <x:v>在 Red Point，行为准则是我们企业文化的基石。我们致力于营造相互尊重、恪守诚信和追求卓越专业水准的工作环境。</x:v>
      </x:c>
      <x:c r="H68" s="25" t="str">
        <x:f>IF(G68="","Missing",IF(TRIM(G68)=TRIM(D68),"Review: same as English","Translated"))</x:f>
        <x:v>Translated</x:v>
      </x:c>
      <x:c r="I68" s="27" t="str"/>
    </x:row>
    <x:row r="69" ht="48" customHeight="1">
      <x:c r="A69" s="25" t="n">
        <x:v>2</x:v>
      </x:c>
      <x:c r="B69" s="25" t="str">
        <x:v>content.bodyParagraphs[1]</x:v>
      </x:c>
      <x:c r="C69" s="25" t="str">
        <x:v>Module 2 opening paragraph 2</x:v>
      </x:c>
      <x:c r="D69" s="25" t="str">
        <x:v>RedPoint Sdn Bhd is committed to maintaining a workplace that promotes fairness, respect, and equal opportunity.</x:v>
      </x:c>
      <x:c r="E69" s="27" t="str">
        <x:v>Pekerja diharapkan bertindak dengan jujur dan mengekalkan piawaian etika tertinggi dalam semua urusan perniagaan. Konflik kepentingan mesti didedahkan dengan serta-merta kepada penyelia atau jabatan HR.</x:v>
      </x:c>
      <x:c r="F69" s="25" t="str">
        <x:f>IF(E69="","Missing",IF(TRIM(E69)=TRIM(D69),"Review: same as English","Translated"))</x:f>
        <x:v>Translated</x:v>
      </x:c>
      <x:c r="G69" s="27" t="str">
        <x:v>所有员工须在商业活动中秉持诚实与最高道德标准。如存在任何潜在利益冲突，必须立即向您的直接主管或 HR 部门申报。</x:v>
      </x:c>
      <x:c r="H69" s="25" t="str">
        <x:f>IF(G69="","Missing",IF(TRIM(G69)=TRIM(D69),"Review: same as English","Translated"))</x:f>
        <x:v>Translated</x:v>
      </x:c>
      <x:c r="I69" s="27" t="str"/>
    </x:row>
    <x:row r="70" ht="20" customHeight="1">
      <x:c r="A70" s="25" t="n">
        <x:v>2</x:v>
      </x:c>
      <x:c r="B70" s="25" t="str">
        <x:v>content.subsections[0].title</x:v>
      </x:c>
      <x:c r="C70" s="25" t="str">
        <x:v>Module 2 subsection 1 title</x:v>
      </x:c>
      <x:c r="D70" s="25" t="str">
        <x:v>1. EMPLOYMENT CATEGORIES</x:v>
      </x:c>
      <x:c r="E70" s="27" t="str"/>
      <x:c r="F70" s="25" t="str">
        <x:f>IF(E70="","Missing",IF(TRIM(E70)=TRIM(D70),"Review: same as English","Translated"))</x:f>
        <x:v>Missing</x:v>
      </x:c>
      <x:c r="G70" s="27" t="str"/>
      <x:c r="H70" s="25" t="str">
        <x:f>IF(G70="","Missing",IF(TRIM(G70)=TRIM(D70),"Review: same as English","Translated"))</x:f>
        <x:v>Missing</x:v>
      </x:c>
      <x:c r="I70" s="27" t="str"/>
    </x:row>
    <x:row r="71" ht="48" customHeight="1">
      <x:c r="A71" s="25" t="n">
        <x:v>2</x:v>
      </x:c>
      <x:c r="B71" s="25" t="str">
        <x:v>content.subsections[0].paragraphs[0]</x:v>
      </x:c>
      <x:c r="C71" s="25" t="str">
        <x:v>Module 2 subsection 1 paragraph 1</x:v>
      </x:c>
      <x:c r="D71" s="25" t="str">
        <x:v>1.1 Permanent Employees: Employed on an ongoing basis without a predetermined end date and entitled to benefits and privileges as stated in their Employment Contract and Company policies.</x:v>
      </x:c>
      <x:c r="E71" s="27" t="str"/>
      <x:c r="F71" s="25" t="str">
        <x:f>IF(E71="","Missing",IF(TRIM(E71)=TRIM(D71),"Review: same as English","Translated"))</x:f>
        <x:v>Missing</x:v>
      </x:c>
      <x:c r="G71" s="27" t="str"/>
      <x:c r="H71" s="25" t="str">
        <x:f>IF(G71="","Missing",IF(TRIM(G71)=TRIM(D71),"Review: same as English","Translated"))</x:f>
        <x:v>Missing</x:v>
      </x:c>
      <x:c r="I71" s="27" t="str"/>
    </x:row>
    <x:row r="72" ht="48" customHeight="1">
      <x:c r="A72" s="25" t="n">
        <x:v>2</x:v>
      </x:c>
      <x:c r="B72" s="25" t="str">
        <x:v>content.subsections[0].paragraphs[1]</x:v>
      </x:c>
      <x:c r="C72" s="25" t="str">
        <x:v>Module 2 subsection 1 paragraph 2</x:v>
      </x:c>
      <x:c r="D72" s="25" t="str">
        <x:v>1.2 Probationary Employees: Serving a probation period to assess job performance, competency, attendance, conduct, suitability for the position, and cultural fit within the organisation.</x:v>
      </x:c>
      <x:c r="E72" s="27" t="str"/>
      <x:c r="F72" s="25" t="str">
        <x:f>IF(E72="","Missing",IF(TRIM(E72)=TRIM(D72),"Review: same as English","Translated"))</x:f>
        <x:v>Missing</x:v>
      </x:c>
      <x:c r="G72" s="27" t="str"/>
      <x:c r="H72" s="25" t="str">
        <x:f>IF(G72="","Missing",IF(TRIM(G72)=TRIM(D72),"Review: same as English","Translated"))</x:f>
        <x:v>Missing</x:v>
      </x:c>
      <x:c r="I72" s="27" t="str"/>
    </x:row>
    <x:row r="73" ht="48" customHeight="1">
      <x:c r="A73" s="25" t="n">
        <x:v>2</x:v>
      </x:c>
      <x:c r="B73" s="25" t="str">
        <x:v>content.subsections[0].paragraphs[2]</x:v>
      </x:c>
      <x:c r="C73" s="25" t="str">
        <x:v>Module 2 subsection 1 paragraph 3</x:v>
      </x:c>
      <x:c r="D73" s="25" t="str">
        <x:v>1.3 Contract Employees: Engaged for a fixed duration or specific project and governed by the terms and conditions in their Employment Contract.</x:v>
      </x:c>
      <x:c r="E73" s="27" t="str"/>
      <x:c r="F73" s="25" t="str">
        <x:f>IF(E73="","Missing",IF(TRIM(E73)=TRIM(D73),"Review: same as English","Translated"))</x:f>
        <x:v>Missing</x:v>
      </x:c>
      <x:c r="G73" s="27" t="str"/>
      <x:c r="H73" s="25" t="str">
        <x:f>IF(G73="","Missing",IF(TRIM(G73)=TRIM(D73),"Review: same as English","Translated"))</x:f>
        <x:v>Missing</x:v>
      </x:c>
      <x:c r="I73" s="27" t="str"/>
    </x:row>
    <x:row r="74" ht="48" customHeight="1">
      <x:c r="A74" s="25" t="n">
        <x:v>2</x:v>
      </x:c>
      <x:c r="B74" s="25" t="str">
        <x:v>content.subsections[0].paragraphs[3]</x:v>
      </x:c>
      <x:c r="C74" s="25" t="str">
        <x:v>Module 2 subsection 1 paragraph 4</x:v>
      </x:c>
      <x:c r="D74" s="25" t="str">
        <x:v>1.4 Part-Time Employees: Engaged to work fewer hours than full-time employees and entitled to statutory and contractual benefits as applicable.</x:v>
      </x:c>
      <x:c r="E74" s="27" t="str"/>
      <x:c r="F74" s="25" t="str">
        <x:f>IF(E74="","Missing",IF(TRIM(E74)=TRIM(D74),"Review: same as English","Translated"))</x:f>
        <x:v>Missing</x:v>
      </x:c>
      <x:c r="G74" s="27" t="str"/>
      <x:c r="H74" s="25" t="str">
        <x:f>IF(G74="","Missing",IF(TRIM(G74)=TRIM(D74),"Review: same as English","Translated"))</x:f>
        <x:v>Missing</x:v>
      </x:c>
      <x:c r="I74" s="27" t="str"/>
    </x:row>
    <x:row r="75" ht="48" customHeight="1">
      <x:c r="A75" s="25" t="n">
        <x:v>2</x:v>
      </x:c>
      <x:c r="B75" s="25" t="str">
        <x:v>content.subsections[0].paragraphs[4]</x:v>
      </x:c>
      <x:c r="C75" s="25" t="str">
        <x:v>Module 2 subsection 1 paragraph 5</x:v>
      </x:c>
      <x:c r="D75" s="25" t="str">
        <x:v>1.5 Interns and Trainees: Engaged primarily for educational or training purposes. Internships do not create an expectation of permanent employment unless offered.</x:v>
      </x:c>
      <x:c r="E75" s="27" t="str"/>
      <x:c r="F75" s="25" t="str">
        <x:f>IF(E75="","Missing",IF(TRIM(E75)=TRIM(D75),"Review: same as English","Translated"))</x:f>
        <x:v>Missing</x:v>
      </x:c>
      <x:c r="G75" s="27" t="str"/>
      <x:c r="H75" s="25" t="str">
        <x:f>IF(G75="","Missing",IF(TRIM(G75)=TRIM(D75),"Review: same as English","Translated"))</x:f>
        <x:v>Missing</x:v>
      </x:c>
      <x:c r="I75" s="27" t="str"/>
    </x:row>
    <x:row r="76" ht="34" customHeight="1">
      <x:c r="A76" s="25" t="n">
        <x:v>2</x:v>
      </x:c>
      <x:c r="B76" s="25" t="str">
        <x:v>content.subsections[0].paragraphs[5]</x:v>
      </x:c>
      <x:c r="C76" s="25" t="str">
        <x:v>Module 2 subsection 1 paragraph 6</x:v>
      </x:c>
      <x:c r="D76" s="25" t="str">
        <x:v>1.6 Freelancers and Consultants: Independent contractors whose engagement is governed by a Service Agreement.</x:v>
      </x:c>
      <x:c r="E76" s="27" t="str"/>
      <x:c r="F76" s="25" t="str">
        <x:f>IF(E76="","Missing",IF(TRIM(E76)=TRIM(D76),"Review: same as English","Translated"))</x:f>
        <x:v>Missing</x:v>
      </x:c>
      <x:c r="G76" s="27" t="str"/>
      <x:c r="H76" s="25" t="str">
        <x:f>IF(G76="","Missing",IF(TRIM(G76)=TRIM(D76),"Review: same as English","Translated"))</x:f>
        <x:v>Missing</x:v>
      </x:c>
      <x:c r="I76" s="27" t="str"/>
    </x:row>
    <x:row r="77" ht="20" customHeight="1">
      <x:c r="A77" s="25" t="n">
        <x:v>2</x:v>
      </x:c>
      <x:c r="B77" s="25" t="str">
        <x:v>content.subsections[1].title</x:v>
      </x:c>
      <x:c r="C77" s="25" t="str">
        <x:v>Module 2 subsection 2 title</x:v>
      </x:c>
      <x:c r="D77" s="25" t="str">
        <x:v>2. EQUAL EMPLOYMENT OPPORTUNITY</x:v>
      </x:c>
      <x:c r="E77" s="27" t="str"/>
      <x:c r="F77" s="25" t="str">
        <x:f>IF(E77="","Missing",IF(TRIM(E77)=TRIM(D77),"Review: same as English","Translated"))</x:f>
        <x:v>Missing</x:v>
      </x:c>
      <x:c r="G77" s="27" t="str"/>
      <x:c r="H77" s="25" t="str">
        <x:f>IF(G77="","Missing",IF(TRIM(G77)=TRIM(D77),"Review: same as English","Translated"))</x:f>
        <x:v>Missing</x:v>
      </x:c>
      <x:c r="I77" s="27" t="str"/>
    </x:row>
    <x:row r="78" ht="62" customHeight="1">
      <x:c r="A78" s="25" t="n">
        <x:v>2</x:v>
      </x:c>
      <x:c r="B78" s="25" t="str">
        <x:v>content.subsections[1].paragraphs[0]</x:v>
      </x:c>
      <x:c r="C78" s="25" t="str">
        <x:v>Module 2 subsection 2 paragraph 1</x:v>
      </x:c>
      <x:c r="D78" s="25" t="str">
        <x:v>RedPoint Sdn Bhd promotes fairness, respect, and equal opportunity. Employment decisions (recruitment, promotion, compensation, training, career development) are based on Qualifications, Skills, Experience, Performance, Competencies, and Business requirements.</x:v>
      </x:c>
      <x:c r="E78" s="27" t="str"/>
      <x:c r="F78" s="25" t="str">
        <x:f>IF(E78="","Missing",IF(TRIM(E78)=TRIM(D78),"Review: same as English","Translated"))</x:f>
        <x:v>Missing</x:v>
      </x:c>
      <x:c r="G78" s="27" t="str"/>
      <x:c r="H78" s="25" t="str">
        <x:f>IF(G78="","Missing",IF(TRIM(G78)=TRIM(D78),"Review: same as English","Translated"))</x:f>
        <x:v>Missing</x:v>
      </x:c>
      <x:c r="I78" s="27" t="str"/>
    </x:row>
    <x:row r="79" ht="48" customHeight="1">
      <x:c r="A79" s="25" t="n">
        <x:v>2</x:v>
      </x:c>
      <x:c r="B79" s="25" t="str">
        <x:v>content.subsections[1].paragraphs[1]</x:v>
      </x:c>
      <x:c r="C79" s="25" t="str">
        <x:v>Module 2 subsection 2 paragraph 2</x:v>
      </x:c>
      <x:c r="D79" s="25" t="str">
        <x:v>The Company does not tolerate discrimination or harassment based on Race, Religion, Gender, Marital Status, Age, Nationality, Disability, or any other protected characteristic.</x:v>
      </x:c>
      <x:c r="E79" s="27" t="str"/>
      <x:c r="F79" s="25" t="str">
        <x:f>IF(E79="","Missing",IF(TRIM(E79)=TRIM(D79),"Review: same as English","Translated"))</x:f>
        <x:v>Missing</x:v>
      </x:c>
      <x:c r="G79" s="27" t="str"/>
      <x:c r="H79" s="25" t="str">
        <x:f>IF(G79="","Missing",IF(TRIM(G79)=TRIM(D79),"Review: same as English","Translated"))</x:f>
        <x:v>Missing</x:v>
      </x:c>
      <x:c r="I79" s="27" t="str"/>
    </x:row>
    <x:row r="80" ht="20" customHeight="1">
      <x:c r="A80" s="25" t="n">
        <x:v>2</x:v>
      </x:c>
      <x:c r="B80" s="25" t="str">
        <x:v>content.subsections[2].title</x:v>
      </x:c>
      <x:c r="C80" s="25" t="str">
        <x:v>Module 2 subsection 3 title</x:v>
      </x:c>
      <x:c r="D80" s="25" t="str">
        <x:v>3. RECRUITMENT AND SELECTION POLICY</x:v>
      </x:c>
      <x:c r="E80" s="27" t="str"/>
      <x:c r="F80" s="25" t="str">
        <x:f>IF(E80="","Missing",IF(TRIM(E80)=TRIM(D80),"Review: same as English","Translated"))</x:f>
        <x:v>Missing</x:v>
      </x:c>
      <x:c r="G80" s="27" t="str"/>
      <x:c r="H80" s="25" t="str">
        <x:f>IF(G80="","Missing",IF(TRIM(G80)=TRIM(D80),"Review: same as English","Translated"))</x:f>
        <x:v>Missing</x:v>
      </x:c>
      <x:c r="I80" s="27" t="str"/>
    </x:row>
    <x:row r="81" ht="20" customHeight="1">
      <x:c r="A81" s="25" t="n">
        <x:v>2</x:v>
      </x:c>
      <x:c r="B81" s="25" t="str">
        <x:v>content.subsections[2].paragraphs[0]</x:v>
      </x:c>
      <x:c r="C81" s="25" t="str">
        <x:v>Module 2 subsection 3 paragraph 1</x:v>
      </x:c>
      <x:c r="D81" s="25" t="str">
        <x:v>The recruitment process generally follows an 8-step workflow:</x:v>
      </x:c>
      <x:c r="E81" s="27" t="str"/>
      <x:c r="F81" s="25" t="str">
        <x:f>IF(E81="","Missing",IF(TRIM(E81)=TRIM(D81),"Review: same as English","Translated"))</x:f>
        <x:v>Missing</x:v>
      </x:c>
      <x:c r="G81" s="27" t="str"/>
      <x:c r="H81" s="25" t="str">
        <x:f>IF(G81="","Missing",IF(TRIM(G81)=TRIM(D81),"Review: same as English","Translated"))</x:f>
        <x:v>Missing</x:v>
      </x:c>
      <x:c r="I81" s="27" t="str"/>
    </x:row>
    <x:row r="82" ht="20" customHeight="1">
      <x:c r="A82" s="25" t="n">
        <x:v>2</x:v>
      </x:c>
      <x:c r="B82" s="25" t="str">
        <x:v>content.subsections[2].bulletPoints[0]</x:v>
      </x:c>
      <x:c r="C82" s="25" t="str">
        <x:v>Module 2 subsection 3 bullet 1</x:v>
      </x:c>
      <x:c r="D82" s="25" t="str">
        <x:v>Step 1: Manpower Requisition and Approval</x:v>
      </x:c>
      <x:c r="E82" s="27" t="str"/>
      <x:c r="F82" s="25" t="str">
        <x:f>IF(E82="","Missing",IF(TRIM(E82)=TRIM(D82),"Review: same as English","Translated"))</x:f>
        <x:v>Missing</x:v>
      </x:c>
      <x:c r="G82" s="27" t="str"/>
      <x:c r="H82" s="25" t="str">
        <x:f>IF(G82="","Missing",IF(TRIM(G82)=TRIM(D82),"Review: same as English","Translated"))</x:f>
        <x:v>Missing</x:v>
      </x:c>
      <x:c r="I82" s="27" t="str"/>
    </x:row>
    <x:row r="83" ht="20" customHeight="1">
      <x:c r="A83" s="25" t="n">
        <x:v>2</x:v>
      </x:c>
      <x:c r="B83" s="25" t="str">
        <x:v>content.subsections[2].bulletPoints[1]</x:v>
      </x:c>
      <x:c r="C83" s="25" t="str">
        <x:v>Module 2 subsection 3 bullet 2</x:v>
      </x:c>
      <x:c r="D83" s="25" t="str">
        <x:v>Step 2: Job Advertisement and Candidate Sourcing</x:v>
      </x:c>
      <x:c r="E83" s="27" t="str"/>
      <x:c r="F83" s="25" t="str">
        <x:f>IF(E83="","Missing",IF(TRIM(E83)=TRIM(D83),"Review: same as English","Translated"))</x:f>
        <x:v>Missing</x:v>
      </x:c>
      <x:c r="G83" s="27" t="str"/>
      <x:c r="H83" s="25" t="str">
        <x:f>IF(G83="","Missing",IF(TRIM(G83)=TRIM(D83),"Review: same as English","Translated"))</x:f>
        <x:v>Missing</x:v>
      </x:c>
      <x:c r="I83" s="27" t="str"/>
    </x:row>
    <x:row r="84" ht="20" customHeight="1">
      <x:c r="A84" s="25" t="n">
        <x:v>2</x:v>
      </x:c>
      <x:c r="B84" s="25" t="str">
        <x:v>content.subsections[2].bulletPoints[2]</x:v>
      </x:c>
      <x:c r="C84" s="25" t="str">
        <x:v>Module 2 subsection 3 bullet 3</x:v>
      </x:c>
      <x:c r="D84" s="25" t="str">
        <x:v>Step 3: Screening of Applications</x:v>
      </x:c>
      <x:c r="E84" s="27" t="str"/>
      <x:c r="F84" s="25" t="str">
        <x:f>IF(E84="","Missing",IF(TRIM(E84)=TRIM(D84),"Review: same as English","Translated"))</x:f>
        <x:v>Missing</x:v>
      </x:c>
      <x:c r="G84" s="27" t="str"/>
      <x:c r="H84" s="25" t="str">
        <x:f>IF(G84="","Missing",IF(TRIM(G84)=TRIM(D84),"Review: same as English","Translated"))</x:f>
        <x:v>Missing</x:v>
      </x:c>
      <x:c r="I84" s="27" t="str"/>
    </x:row>
    <x:row r="85" ht="20" customHeight="1">
      <x:c r="A85" s="25" t="n">
        <x:v>2</x:v>
      </x:c>
      <x:c r="B85" s="25" t="str">
        <x:v>content.subsections[2].bulletPoints[3]</x:v>
      </x:c>
      <x:c r="C85" s="25" t="str">
        <x:v>Module 2 subsection 3 bullet 4</x:v>
      </x:c>
      <x:c r="D85" s="25" t="str">
        <x:v>Step 4: Interview and Assessment</x:v>
      </x:c>
      <x:c r="E85" s="27" t="str"/>
      <x:c r="F85" s="25" t="str">
        <x:f>IF(E85="","Missing",IF(TRIM(E85)=TRIM(D85),"Review: same as English","Translated"))</x:f>
        <x:v>Missing</x:v>
      </x:c>
      <x:c r="G85" s="27" t="str"/>
      <x:c r="H85" s="25" t="str">
        <x:f>IF(G85="","Missing",IF(TRIM(G85)=TRIM(D85),"Review: same as English","Translated"))</x:f>
        <x:v>Missing</x:v>
      </x:c>
      <x:c r="I85" s="27" t="str"/>
    </x:row>
    <x:row r="86" ht="20" customHeight="1">
      <x:c r="A86" s="25" t="n">
        <x:v>2</x:v>
      </x:c>
      <x:c r="B86" s="25" t="str">
        <x:v>content.subsections[2].bulletPoints[4]</x:v>
      </x:c>
      <x:c r="C86" s="25" t="str">
        <x:v>Module 2 subsection 3 bullet 5</x:v>
      </x:c>
      <x:c r="D86" s="25" t="str">
        <x:v>Step 5: Reference and Background Verification (where applicable)</x:v>
      </x:c>
      <x:c r="E86" s="27" t="str"/>
      <x:c r="F86" s="25" t="str">
        <x:f>IF(E86="","Missing",IF(TRIM(E86)=TRIM(D86),"Review: same as English","Translated"))</x:f>
        <x:v>Missing</x:v>
      </x:c>
      <x:c r="G86" s="27" t="str"/>
      <x:c r="H86" s="25" t="str">
        <x:f>IF(G86="","Missing",IF(TRIM(G86)=TRIM(D86),"Review: same as English","Translated"))</x:f>
        <x:v>Missing</x:v>
      </x:c>
      <x:c r="I86" s="27" t="str"/>
    </x:row>
    <x:row r="87" ht="20" customHeight="1">
      <x:c r="A87" s="25" t="n">
        <x:v>2</x:v>
      </x:c>
      <x:c r="B87" s="25" t="str">
        <x:v>content.subsections[2].bulletPoints[5]</x:v>
      </x:c>
      <x:c r="C87" s="25" t="str">
        <x:v>Module 2 subsection 3 bullet 6</x:v>
      </x:c>
      <x:c r="D87" s="25" t="str">
        <x:v>Step 6: Selection and Approval</x:v>
      </x:c>
      <x:c r="E87" s="27" t="str"/>
      <x:c r="F87" s="25" t="str">
        <x:f>IF(E87="","Missing",IF(TRIM(E87)=TRIM(D87),"Review: same as English","Translated"))</x:f>
        <x:v>Missing</x:v>
      </x:c>
      <x:c r="G87" s="27" t="str"/>
      <x:c r="H87" s="25" t="str">
        <x:f>IF(G87="","Missing",IF(TRIM(G87)=TRIM(D87),"Review: same as English","Translated"))</x:f>
        <x:v>Missing</x:v>
      </x:c>
      <x:c r="I87" s="27" t="str"/>
    </x:row>
    <x:row r="88" ht="20" customHeight="1">
      <x:c r="A88" s="25" t="n">
        <x:v>2</x:v>
      </x:c>
      <x:c r="B88" s="25" t="str">
        <x:v>content.subsections[2].bulletPoints[6]</x:v>
      </x:c>
      <x:c r="C88" s="25" t="str">
        <x:v>Module 2 subsection 3 bullet 7</x:v>
      </x:c>
      <x:c r="D88" s="25" t="str">
        <x:v>Step 7: Offer of Employment</x:v>
      </x:c>
      <x:c r="E88" s="27" t="str"/>
      <x:c r="F88" s="25" t="str">
        <x:f>IF(E88="","Missing",IF(TRIM(E88)=TRIM(D88),"Review: same as English","Translated"))</x:f>
        <x:v>Missing</x:v>
      </x:c>
      <x:c r="G88" s="27" t="str"/>
      <x:c r="H88" s="25" t="str">
        <x:f>IF(G88="","Missing",IF(TRIM(G88)=TRIM(D88),"Review: same as English","Translated"))</x:f>
        <x:v>Missing</x:v>
      </x:c>
      <x:c r="I88" s="27" t="str"/>
    </x:row>
    <x:row r="89" ht="20" customHeight="1">
      <x:c r="A89" s="25" t="n">
        <x:v>2</x:v>
      </x:c>
      <x:c r="B89" s="25" t="str">
        <x:v>content.subsections[2].bulletPoints[7]</x:v>
      </x:c>
      <x:c r="C89" s="25" t="str">
        <x:v>Module 2 subsection 3 bullet 8</x:v>
      </x:c>
      <x:c r="D89" s="25" t="str">
        <x:v>Step 8: Onboarding and Orientation</x:v>
      </x:c>
      <x:c r="E89" s="27" t="str"/>
      <x:c r="F89" s="25" t="str">
        <x:f>IF(E89="","Missing",IF(TRIM(E89)=TRIM(D89),"Review: same as English","Translated"))</x:f>
        <x:v>Missing</x:v>
      </x:c>
      <x:c r="G89" s="27" t="str"/>
      <x:c r="H89" s="25" t="str">
        <x:f>IF(G89="","Missing",IF(TRIM(G89)=TRIM(D89),"Review: same as English","Translated"))</x:f>
        <x:v>Missing</x:v>
      </x:c>
      <x:c r="I89" s="27" t="str"/>
    </x:row>
    <x:row r="90" ht="20" customHeight="1">
      <x:c r="A90" s="25" t="n">
        <x:v>2</x:v>
      </x:c>
      <x:c r="B90" s="25" t="str">
        <x:v>content.subsections[3].title</x:v>
      </x:c>
      <x:c r="C90" s="25" t="str">
        <x:v>Module 2 subsection 4 title</x:v>
      </x:c>
      <x:c r="D90" s="25" t="str">
        <x:v>4. EMPLOYMENT CONTRACT POLICY</x:v>
      </x:c>
      <x:c r="E90" s="27" t="str"/>
      <x:c r="F90" s="25" t="str">
        <x:f>IF(E90="","Missing",IF(TRIM(E90)=TRIM(D90),"Review: same as English","Translated"))</x:f>
        <x:v>Missing</x:v>
      </x:c>
      <x:c r="G90" s="27" t="str"/>
      <x:c r="H90" s="25" t="str">
        <x:f>IF(G90="","Missing",IF(TRIM(G90)=TRIM(D90),"Review: same as English","Translated"))</x:f>
        <x:v>Missing</x:v>
      </x:c>
      <x:c r="I90" s="27" t="str"/>
    </x:row>
    <x:row r="91" ht="62" customHeight="1">
      <x:c r="A91" s="25" t="n">
        <x:v>2</x:v>
      </x:c>
      <x:c r="B91" s="25" t="str">
        <x:v>content.subsections[3].paragraphs[0]</x:v>
      </x:c>
      <x:c r="C91" s="25" t="str">
        <x:v>Module 2 subsection 4 paragraph 1</x:v>
      </x:c>
      <x:c r="D91" s="25" t="str">
        <x:v>Every employee shall receive a written Employment Contract specifying Position, Department, Reporting Structure, Commencement Date, Working Hours, Salary, Probation, Notice Period, Leave Entitlements, Confidentiality, and Other Terms.</x:v>
      </x:c>
      <x:c r="E91" s="27" t="str"/>
      <x:c r="F91" s="25" t="str">
        <x:f>IF(E91="","Missing",IF(TRIM(E91)=TRIM(D91),"Review: same as English","Translated"))</x:f>
        <x:v>Missing</x:v>
      </x:c>
      <x:c r="G91" s="27" t="str"/>
      <x:c r="H91" s="25" t="str">
        <x:f>IF(G91="","Missing",IF(TRIM(G91)=TRIM(D91),"Review: same as English","Translated"))</x:f>
        <x:v>Missing</x:v>
      </x:c>
      <x:c r="I91" s="27" t="str"/>
    </x:row>
    <x:row r="92" ht="34" customHeight="1">
      <x:c r="A92" s="25" t="n">
        <x:v>2</x:v>
      </x:c>
      <x:c r="B92" s="25" t="str">
        <x:v>content.subsections[3].paragraphs[1]</x:v>
      </x:c>
      <x:c r="C92" s="25" t="str">
        <x:v>Module 2 subsection 4 paragraph 2</x:v>
      </x:c>
      <x:c r="D92" s="25" t="str">
        <x:v>Employees must sign and return the Employment Contract within the period specified by the Company.</x:v>
      </x:c>
      <x:c r="E92" s="27" t="str"/>
      <x:c r="F92" s="25" t="str">
        <x:f>IF(E92="","Missing",IF(TRIM(E92)=TRIM(D92),"Review: same as English","Translated"))</x:f>
        <x:v>Missing</x:v>
      </x:c>
      <x:c r="G92" s="27" t="str"/>
      <x:c r="H92" s="25" t="str">
        <x:f>IF(G92="","Missing",IF(TRIM(G92)=TRIM(D92),"Review: same as English","Translated"))</x:f>
        <x:v>Missing</x:v>
      </x:c>
      <x:c r="I92" s="27" t="str"/>
    </x:row>
    <x:row r="93" ht="20" customHeight="1">
      <x:c r="A93" s="25" t="n">
        <x:v>2</x:v>
      </x:c>
      <x:c r="B93" s="25" t="str">
        <x:v>content.subsections[4].title</x:v>
      </x:c>
      <x:c r="C93" s="25" t="str">
        <x:v>Module 2 subsection 5 title</x:v>
      </x:c>
      <x:c r="D93" s="25" t="str">
        <x:v>5. JOB DESCRIPTION AND DUTIES</x:v>
      </x:c>
      <x:c r="E93" s="27" t="str"/>
      <x:c r="F93" s="25" t="str">
        <x:f>IF(E93="","Missing",IF(TRIM(E93)=TRIM(D93),"Review: same as English","Translated"))</x:f>
        <x:v>Missing</x:v>
      </x:c>
      <x:c r="G93" s="27" t="str"/>
      <x:c r="H93" s="25" t="str">
        <x:f>IF(G93="","Missing",IF(TRIM(G93)=TRIM(D93),"Review: same as English","Translated"))</x:f>
        <x:v>Missing</x:v>
      </x:c>
      <x:c r="I93" s="27" t="str"/>
    </x:row>
    <x:row r="94" ht="48" customHeight="1">
      <x:c r="A94" s="25" t="n">
        <x:v>2</x:v>
      </x:c>
      <x:c r="B94" s="25" t="str">
        <x:v>content.subsections[4].paragraphs[0]</x:v>
      </x:c>
      <x:c r="C94" s="25" t="str">
        <x:v>Module 2 subsection 5 paragraph 1</x:v>
      </x:c>
      <x:c r="D94" s="25" t="str">
        <x:v>Employees are expected to perform duties diligently, achieve goals, follow lawful instructions, meet deadlines, and maintain professional standards.</x:v>
      </x:c>
      <x:c r="E94" s="27" t="str"/>
      <x:c r="F94" s="25" t="str">
        <x:f>IF(E94="","Missing",IF(TRIM(E94)=TRIM(D94),"Review: same as English","Translated"))</x:f>
        <x:v>Missing</x:v>
      </x:c>
      <x:c r="G94" s="27" t="str"/>
      <x:c r="H94" s="25" t="str">
        <x:f>IF(G94="","Missing",IF(TRIM(G94)=TRIM(D94),"Review: same as English","Translated"))</x:f>
        <x:v>Missing</x:v>
      </x:c>
      <x:c r="I94" s="27" t="str"/>
    </x:row>
    <x:row r="95" ht="48" customHeight="1">
      <x:c r="A95" s="25" t="n">
        <x:v>2</x:v>
      </x:c>
      <x:c r="B95" s="25" t="str">
        <x:v>content.subsections[4].paragraphs[1]</x:v>
      </x:c>
      <x:c r="C95" s="25" t="str">
        <x:v>Module 2 subsection 5 paragraph 2</x:v>
      </x:c>
      <x:c r="D95" s="25" t="str">
        <x:v>In a fast-paced agency environment, employees may occasionally be required to undertake duties outside their usual scope of work, provided such duties are reasonable and related to business operations.</x:v>
      </x:c>
      <x:c r="E95" s="27" t="str"/>
      <x:c r="F95" s="25" t="str">
        <x:f>IF(E95="","Missing",IF(TRIM(E95)=TRIM(D95),"Review: same as English","Translated"))</x:f>
        <x:v>Missing</x:v>
      </x:c>
      <x:c r="G95" s="27" t="str"/>
      <x:c r="H95" s="25" t="str">
        <x:f>IF(G95="","Missing",IF(TRIM(G95)=TRIM(D95),"Review: same as English","Translated"))</x:f>
        <x:v>Missing</x:v>
      </x:c>
      <x:c r="I95" s="27" t="str"/>
    </x:row>
    <x:row r="96" ht="20" customHeight="1">
      <x:c r="A96" s="25" t="n">
        <x:v>2</x:v>
      </x:c>
      <x:c r="B96" s="25" t="str">
        <x:v>content.subsections[5].title</x:v>
      </x:c>
      <x:c r="C96" s="25" t="str">
        <x:v>Module 2 subsection 6 title</x:v>
      </x:c>
      <x:c r="D96" s="25" t="str">
        <x:v>6. EMPLOYEE RECORDS AND PERSONAL INFORMATION</x:v>
      </x:c>
      <x:c r="E96" s="27" t="str"/>
      <x:c r="F96" s="25" t="str">
        <x:f>IF(E96="","Missing",IF(TRIM(E96)=TRIM(D96),"Review: same as English","Translated"))</x:f>
        <x:v>Missing</x:v>
      </x:c>
      <x:c r="G96" s="27" t="str"/>
      <x:c r="H96" s="25" t="str">
        <x:f>IF(G96="","Missing",IF(TRIM(G96)=TRIM(D96),"Review: same as English","Translated"))</x:f>
        <x:v>Missing</x:v>
      </x:c>
      <x:c r="I96" s="27" t="str"/>
    </x:row>
    <x:row r="97" ht="62" customHeight="1">
      <x:c r="A97" s="25" t="n">
        <x:v>2</x:v>
      </x:c>
      <x:c r="B97" s="25" t="str">
        <x:v>content.subsections[5].paragraphs[0]</x:v>
      </x:c>
      <x:c r="C97" s="25" t="str">
        <x:v>Module 2 subsection 6 paragraph 1</x:v>
      </x:c>
      <x:c r="D97" s="25" t="str">
        <x:v>Employees are required to provide accurate information including Full Name, NRIC/Passport, Residential Address, Contact Info, Emergency Contact, Bank Details, EPF, SOCSO, Tax ID (TIN), Education, and Certifications.</x:v>
      </x:c>
      <x:c r="E97" s="27" t="str"/>
      <x:c r="F97" s="25" t="str">
        <x:f>IF(E97="","Missing",IF(TRIM(E97)=TRIM(D97),"Review: same as English","Translated"))</x:f>
        <x:v>Missing</x:v>
      </x:c>
      <x:c r="G97" s="27" t="str"/>
      <x:c r="H97" s="25" t="str">
        <x:f>IF(G97="","Missing",IF(TRIM(G97)=TRIM(D97),"Review: same as English","Translated"))</x:f>
        <x:v>Missing</x:v>
      </x:c>
      <x:c r="I97" s="27" t="str"/>
    </x:row>
    <x:row r="98" ht="34" customHeight="1">
      <x:c r="A98" s="25" t="n">
        <x:v>2</x:v>
      </x:c>
      <x:c r="B98" s="25" t="str">
        <x:v>content.subsections[5].paragraphs[1]</x:v>
      </x:c>
      <x:c r="C98" s="25" t="str">
        <x:v>Module 2 subsection 6 paragraph 2</x:v>
      </x:c>
      <x:c r="D98" s="25" t="str">
        <x:v>Employees must notify HR of any changes to personal information within seven (7) calendar days.</x:v>
      </x:c>
      <x:c r="E98" s="27" t="str"/>
      <x:c r="F98" s="25" t="str">
        <x:f>IF(E98="","Missing",IF(TRIM(E98)=TRIM(D98),"Review: same as English","Translated"))</x:f>
        <x:v>Missing</x:v>
      </x:c>
      <x:c r="G98" s="27" t="str"/>
      <x:c r="H98" s="25" t="str">
        <x:f>IF(G98="","Missing",IF(TRIM(G98)=TRIM(D98),"Review: same as English","Translated"))</x:f>
        <x:v>Missing</x:v>
      </x:c>
      <x:c r="I98" s="27" t="str"/>
    </x:row>
    <x:row r="99" ht="20" customHeight="1">
      <x:c r="A99" s="25" t="n">
        <x:v>2</x:v>
      </x:c>
      <x:c r="B99" s="25" t="str">
        <x:v>content.subsections[6].title</x:v>
      </x:c>
      <x:c r="C99" s="25" t="str">
        <x:v>Module 2 subsection 7 title</x:v>
      </x:c>
      <x:c r="D99" s="25" t="str">
        <x:v>7. CONFIDENTIAL INFORMATION DECLARATION</x:v>
      </x:c>
      <x:c r="E99" s="27" t="str"/>
      <x:c r="F99" s="25" t="str">
        <x:f>IF(E99="","Missing",IF(TRIM(E99)=TRIM(D99),"Review: same as English","Translated"))</x:f>
        <x:v>Missing</x:v>
      </x:c>
      <x:c r="G99" s="27" t="str"/>
      <x:c r="H99" s="25" t="str">
        <x:f>IF(G99="","Missing",IF(TRIM(G99)=TRIM(D99),"Review: same as English","Translated"))</x:f>
        <x:v>Missing</x:v>
      </x:c>
      <x:c r="I99" s="27" t="str"/>
    </x:row>
    <x:row r="100" ht="76" customHeight="1">
      <x:c r="A100" s="25" t="n">
        <x:v>2</x:v>
      </x:c>
      <x:c r="B100" s="25" t="str">
        <x:v>content.subsections[6].paragraphs[0]</x:v>
      </x:c>
      <x:c r="C100" s="25" t="str">
        <x:v>Module 2 subsection 7 paragraph 1</x:v>
      </x:c>
      <x:c r="D100" s="25" t="str">
        <x:v>Employees must maintain strict confidentiality during and after employment regarding Business Information (strategies, financial data, pricing), Client Information (client lists, campaigns), Company Information (internal policies, reports), and Digital Information (passwords, credentials, social media accounts, Google Drive, databases).</x:v>
      </x:c>
      <x:c r="E100" s="27" t="str"/>
      <x:c r="F100" s="25" t="str">
        <x:f>IF(E100="","Missing",IF(TRIM(E100)=TRIM(D100),"Review: same as English","Translated"))</x:f>
        <x:v>Missing</x:v>
      </x:c>
      <x:c r="G100" s="27" t="str"/>
      <x:c r="H100" s="25" t="str">
        <x:f>IF(G100="","Missing",IF(TRIM(G100)=TRIM(D100),"Review: same as English","Translated"))</x:f>
        <x:v>Missing</x:v>
      </x:c>
      <x:c r="I100" s="27" t="str"/>
    </x:row>
    <x:row r="101" ht="34" customHeight="1">
      <x:c r="A101" s="25" t="n">
        <x:v>2</x:v>
      </x:c>
      <x:c r="B101" s="25" t="str">
        <x:v>content.subsections[6].paragraphs[1]</x:v>
      </x:c>
      <x:c r="C101" s="25" t="str">
        <x:v>Module 2 subsection 7 paragraph 2</x:v>
      </x:c>
      <x:c r="D101" s="25" t="str">
        <x:v>Any breach of confidentiality may result in disciplinary action, legal proceedings, and claims for damages.</x:v>
      </x:c>
      <x:c r="E101" s="27" t="str"/>
      <x:c r="F101" s="25" t="str">
        <x:f>IF(E101="","Missing",IF(TRIM(E101)=TRIM(D101),"Review: same as English","Translated"))</x:f>
        <x:v>Missing</x:v>
      </x:c>
      <x:c r="G101" s="27" t="str"/>
      <x:c r="H101" s="25" t="str">
        <x:f>IF(G101="","Missing",IF(TRIM(G101)=TRIM(D101),"Review: same as English","Translated"))</x:f>
        <x:v>Missing</x:v>
      </x:c>
      <x:c r="I101" s="27" t="str"/>
    </x:row>
    <x:row r="102" ht="34" customHeight="1">
      <x:c r="A102" s="25" t="n">
        <x:v>2</x:v>
      </x:c>
      <x:c r="B102" s="25" t="str">
        <x:v>content.keyTakeaway</x:v>
      </x:c>
      <x:c r="C102" s="25" t="str">
        <x:v>Module 2 key takeaway</x:v>
      </x:c>
      <x:c r="D102" s="25" t="str">
        <x:v>The Employment Contract shall take precedence over this Handbook in the event of any inconsistency unless otherwise required by law.</x:v>
      </x:c>
      <x:c r="E102" s="27" t="str">
        <x:v>Jika ragu-ragu tentang keputusan etika, hubungi Rakan Perniagaan HR atau pegawai pematuhan anda dengan segera.</x:v>
      </x:c>
      <x:c r="F102" s="25" t="str">
        <x:f>IF(E102="","Missing",IF(TRIM(E102)=TRIM(D102),"Review: same as English","Translated"))</x:f>
        <x:v>Translated</x:v>
      </x:c>
      <x:c r="G102" s="27" t="str">
        <x:v>当对道德决策产生疑问时，请立即咨询您的 HR 业务伙伴或合规官。</x:v>
      </x:c>
      <x:c r="H102" s="25" t="str">
        <x:f>IF(G102="","Missing",IF(TRIM(G102)=TRIM(D102),"Review: same as English","Translated"))</x:f>
        <x:v>Translated</x:v>
      </x:c>
      <x:c r="I102" s="27" t="str"/>
    </x:row>
    <x:row r="103" ht="20" customHeight="1">
      <x:c r="A103" s="25" t="n">
        <x:v>3</x:v>
      </x:c>
      <x:c r="B103" s="25" t="str">
        <x:v>title</x:v>
      </x:c>
      <x:c r="C103" s="25" t="str">
        <x:v>Module 3 title</x:v>
      </x:c>
      <x:c r="D103" s="25" t="str">
        <x:v>Part 3 – Probation &amp; Employee Lifecycle</x:v>
      </x:c>
      <x:c r="E103" s="27" t="str">
        <x:v>3. Keselamatan &amp; Kesihatan Tempat Kerja</x:v>
      </x:c>
      <x:c r="F103" s="25" t="str">
        <x:f>IF(E103="","Missing",IF(TRIM(E103)=TRIM(D103),"Review: same as English","Translated"))</x:f>
        <x:v>Translated</x:v>
      </x:c>
      <x:c r="G103" s="27" t="str">
        <x:v>3. 职场安全与健康</x:v>
      </x:c>
      <x:c r="H103" s="25" t="str">
        <x:f>IF(G103="","Missing",IF(TRIM(G103)=TRIM(D103),"Review: same as English","Translated"))</x:f>
        <x:v>Translated</x:v>
      </x:c>
      <x:c r="I103" s="27" t="str"/>
    </x:row>
    <x:row r="104" ht="34" customHeight="1">
      <x:c r="A104" s="25" t="n">
        <x:v>3</x:v>
      </x:c>
      <x:c r="B104" s="25" t="str">
        <x:v>subtitle</x:v>
      </x:c>
      <x:c r="C104" s="25" t="str">
        <x:v>Module 3 subtitle</x:v>
      </x:c>
      <x:c r="D104" s="25" t="str">
        <x:v>Probation reviews, confirmation policy, promotion, transfers, acting roles, demotion, training &amp; training bonds</x:v>
      </x:c>
      <x:c r="E104" s="27" t="str">
        <x:v>Ergonomik, protokol kecemasan, dan sumber kesihatan mental</x:v>
      </x:c>
      <x:c r="F104" s="25" t="str">
        <x:f>IF(E104="","Missing",IF(TRIM(E104)=TRIM(D104),"Review: same as English","Translated"))</x:f>
        <x:v>Translated</x:v>
      </x:c>
      <x:c r="G104" s="27" t="str">
        <x:v>工效学、紧急疏散预案及心理健康支持资源</x:v>
      </x:c>
      <x:c r="H104" s="25" t="str">
        <x:f>IF(G104="","Missing",IF(TRIM(G104)=TRIM(D104),"Review: same as English","Translated"))</x:f>
        <x:v>Translated</x:v>
      </x:c>
      <x:c r="I104" s="27" t="str"/>
    </x:row>
    <x:row r="105" ht="20" customHeight="1">
      <x:c r="A105" s="25" t="n">
        <x:v>3</x:v>
      </x:c>
      <x:c r="B105" s="25" t="str">
        <x:v>content.sectionTitle</x:v>
      </x:c>
      <x:c r="C105" s="25" t="str">
        <x:v>Module 3 section heading</x:v>
      </x:c>
      <x:c r="D105" s="25" t="str">
        <x:v>PART 3 – PROBATION &amp; EMPLOYEE LIFECYCLE</x:v>
      </x:c>
      <x:c r="E105" s="27" t="str">
        <x:v>Keselamatan Tempat Kerja &amp; Ergonomik</x:v>
      </x:c>
      <x:c r="F105" s="25" t="str">
        <x:f>IF(E105="","Missing",IF(TRIM(E105)=TRIM(D105),"Review: same as English","Translated"))</x:f>
        <x:v>Translated</x:v>
      </x:c>
      <x:c r="G105" s="27" t="str">
        <x:v>职场安全与办公桌工效学</x:v>
      </x:c>
      <x:c r="H105" s="25" t="str">
        <x:f>IF(G105="","Missing",IF(TRIM(G105)=TRIM(D105),"Review: same as English","Translated"))</x:f>
        <x:v>Translated</x:v>
      </x:c>
      <x:c r="I105" s="27" t="str"/>
    </x:row>
    <x:row r="106" ht="48" customHeight="1">
      <x:c r="A106" s="25" t="n">
        <x:v>3</x:v>
      </x:c>
      <x:c r="B106" s="25" t="str">
        <x:v>content.bodyParagraphs[0]</x:v>
      </x:c>
      <x:c r="C106" s="25" t="str">
        <x:v>Module 3 opening paragraph 1</x:v>
      </x:c>
      <x:c r="D106" s="25" t="str">
        <x:v>The Company believes in providing employees with opportunities to learn, grow, and develop their careers while maintaining high standards of performance, accountability, and professionalism.</x:v>
      </x:c>
      <x:c r="E106" s="27" t="str">
        <x:v>Red Point komited untuk mengekalkan persekitaran yang selamat, sihat, dan menyokong untuk semua pekerja sama ada di pejabat atau bekerja dari jauh.</x:v>
      </x:c>
      <x:c r="F106" s="25" t="str">
        <x:f>IF(E106="","Missing",IF(TRIM(E106)=TRIM(D106),"Review: same as English","Translated"))</x:f>
        <x:v>Translated</x:v>
      </x:c>
      <x:c r="G106" s="27" t="str">
        <x:v>Red Point 致力于为所有员工（无论在办公司还是远程办公）提供安全、健康和充满关怀的环境。</x:v>
      </x:c>
      <x:c r="H106" s="25" t="str">
        <x:f>IF(G106="","Missing",IF(TRIM(G106)=TRIM(D106),"Review: same as English","Translated"))</x:f>
        <x:v>Translated</x:v>
      </x:c>
      <x:c r="I106" s="27" t="str"/>
    </x:row>
    <x:row r="107" ht="20" customHeight="1">
      <x:c r="A107" s="25" t="n">
        <x:v>3</x:v>
      </x:c>
      <x:c r="B107" s="25" t="str">
        <x:v>content.subsections[0].title</x:v>
      </x:c>
      <x:c r="C107" s="25" t="str">
        <x:v>Module 3 subsection 1 title</x:v>
      </x:c>
      <x:c r="D107" s="25" t="str">
        <x:v>1. PROBATION POLICY</x:v>
      </x:c>
      <x:c r="E107" s="27" t="str"/>
      <x:c r="F107" s="25" t="str">
        <x:f>IF(E107="","Missing",IF(TRIM(E107)=TRIM(D107),"Review: same as English","Translated"))</x:f>
        <x:v>Missing</x:v>
      </x:c>
      <x:c r="G107" s="27" t="str"/>
      <x:c r="H107" s="25" t="str">
        <x:f>IF(G107="","Missing",IF(TRIM(G107)=TRIM(D107),"Review: same as English","Translated"))</x:f>
        <x:v>Missing</x:v>
      </x:c>
      <x:c r="I107" s="27" t="str"/>
    </x:row>
    <x:row r="108" ht="34" customHeight="1">
      <x:c r="A108" s="25" t="n">
        <x:v>3</x:v>
      </x:c>
      <x:c r="B108" s="25" t="str">
        <x:v>content.subsections[0].paragraphs[0]</x:v>
      </x:c>
      <x:c r="C108" s="25" t="str">
        <x:v>Module 3 subsection 1 paragraph 1</x:v>
      </x:c>
      <x:c r="D108" s="25" t="str">
        <x:v>Purpose: The probation period allows the Company to assess Performance, Competency, Attendance, Conduct, Adaptability, and Cultural fit.</x:v>
      </x:c>
      <x:c r="E108" s="27" t="str"/>
      <x:c r="F108" s="25" t="str">
        <x:f>IF(E108="","Missing",IF(TRIM(E108)=TRIM(D108),"Review: same as English","Translated"))</x:f>
        <x:v>Missing</x:v>
      </x:c>
      <x:c r="G108" s="27" t="str"/>
      <x:c r="H108" s="25" t="str">
        <x:f>IF(G108="","Missing",IF(TRIM(G108)=TRIM(D108),"Review: same as English","Translated"))</x:f>
        <x:v>Missing</x:v>
      </x:c>
      <x:c r="I108" s="27" t="str"/>
    </x:row>
    <x:row r="109" ht="34" customHeight="1">
      <x:c r="A109" s="25" t="n">
        <x:v>3</x:v>
      </x:c>
      <x:c r="B109" s="25" t="str">
        <x:v>content.subsections[0].paragraphs[1]</x:v>
      </x:c>
      <x:c r="C109" s="25" t="str">
        <x:v>Module 3 subsection 1 paragraph 2</x:v>
      </x:c>
      <x:c r="D109" s="25" t="str">
        <x:v>Probation Period: Typically three (3) months, which may be extended upon written notice.</x:v>
      </x:c>
      <x:c r="E109" s="27" t="str"/>
      <x:c r="F109" s="25" t="str">
        <x:f>IF(E109="","Missing",IF(TRIM(E109)=TRIM(D109),"Review: same as English","Translated"))</x:f>
        <x:v>Missing</x:v>
      </x:c>
      <x:c r="G109" s="27" t="str"/>
      <x:c r="H109" s="25" t="str">
        <x:f>IF(G109="","Missing",IF(TRIM(G109)=TRIM(D109),"Review: same as English","Translated"))</x:f>
        <x:v>Missing</x:v>
      </x:c>
      <x:c r="I109" s="27" t="str"/>
    </x:row>
    <x:row r="110" ht="34" customHeight="1">
      <x:c r="A110" s="25" t="n">
        <x:v>3</x:v>
      </x:c>
      <x:c r="B110" s="25" t="str">
        <x:v>content.subsections[0].paragraphs[2]</x:v>
      </x:c>
      <x:c r="C110" s="25" t="str">
        <x:v>Module 3 subsection 1 paragraph 3</x:v>
      </x:c>
      <x:c r="D110" s="25" t="str">
        <x:v>Performance Expectations: Demonstrating quality of work, punctuality, consistent attendance, teamwork, and alignment with Company values.</x:v>
      </x:c>
      <x:c r="E110" s="27" t="str"/>
      <x:c r="F110" s="25" t="str">
        <x:f>IF(E110="","Missing",IF(TRIM(E110)=TRIM(D110),"Review: same as English","Translated"))</x:f>
        <x:v>Missing</x:v>
      </x:c>
      <x:c r="G110" s="27" t="str"/>
      <x:c r="H110" s="25" t="str">
        <x:f>IF(G110="","Missing",IF(TRIM(G110)=TRIM(D110),"Review: same as English","Translated"))</x:f>
        <x:v>Missing</x:v>
      </x:c>
      <x:c r="I110" s="27" t="str"/>
    </x:row>
    <x:row r="111" ht="34" customHeight="1">
      <x:c r="A111" s="25" t="n">
        <x:v>3</x:v>
      </x:c>
      <x:c r="B111" s="25" t="str">
        <x:v>content.subsections[0].paragraphs[3]</x:v>
      </x:c>
      <x:c r="C111" s="25" t="str">
        <x:v>Module 3 subsection 1 paragraph 4</x:v>
      </x:c>
      <x:c r="D111" s="25" t="str">
        <x:v>Extension of Probation: May be extended from one (1) to three (3) months for performance improvement, training, or further evaluation.</x:v>
      </x:c>
      <x:c r="E111" s="27" t="str"/>
      <x:c r="F111" s="25" t="str">
        <x:f>IF(E111="","Missing",IF(TRIM(E111)=TRIM(D111),"Review: same as English","Translated"))</x:f>
        <x:v>Missing</x:v>
      </x:c>
      <x:c r="G111" s="27" t="str"/>
      <x:c r="H111" s="25" t="str">
        <x:f>IF(G111="","Missing",IF(TRIM(G111)=TRIM(D111),"Review: same as English","Translated"))</x:f>
        <x:v>Missing</x:v>
      </x:c>
      <x:c r="I111" s="27" t="str"/>
    </x:row>
    <x:row r="112" ht="20" customHeight="1">
      <x:c r="A112" s="25" t="n">
        <x:v>3</x:v>
      </x:c>
      <x:c r="B112" s="25" t="str">
        <x:v>content.subsections[1].title</x:v>
      </x:c>
      <x:c r="C112" s="25" t="str">
        <x:v>Module 3 subsection 2 title</x:v>
      </x:c>
      <x:c r="D112" s="25" t="str">
        <x:v>2. CONFIRMATION OF EMPLOYMENT POLICY</x:v>
      </x:c>
      <x:c r="E112" s="27" t="str"/>
      <x:c r="F112" s="25" t="str">
        <x:f>IF(E112="","Missing",IF(TRIM(E112)=TRIM(D112),"Review: same as English","Translated"))</x:f>
        <x:v>Missing</x:v>
      </x:c>
      <x:c r="G112" s="27" t="str"/>
      <x:c r="H112" s="25" t="str">
        <x:f>IF(G112="","Missing",IF(TRIM(G112)=TRIM(D112),"Review: same as English","Translated"))</x:f>
        <x:v>Missing</x:v>
      </x:c>
      <x:c r="I112" s="27" t="str"/>
    </x:row>
    <x:row r="113" ht="20" customHeight="1">
      <x:c r="A113" s="25" t="n">
        <x:v>3</x:v>
      </x:c>
      <x:c r="B113" s="25" t="str">
        <x:v>content.subsections[1].paragraphs[0]</x:v>
      </x:c>
      <x:c r="C113" s="25" t="str">
        <x:v>Module 3 subsection 2 paragraph 1</x:v>
      </x:c>
      <x:c r="D113" s="25" t="str">
        <x:v>Confirmation signifies successful completion of probation.</x:v>
      </x:c>
      <x:c r="E113" s="27" t="str"/>
      <x:c r="F113" s="25" t="str">
        <x:f>IF(E113="","Missing",IF(TRIM(E113)=TRIM(D113),"Review: same as English","Translated"))</x:f>
        <x:v>Missing</x:v>
      </x:c>
      <x:c r="G113" s="27" t="str"/>
      <x:c r="H113" s="25" t="str">
        <x:f>IF(G113="","Missing",IF(TRIM(G113)=TRIM(D113),"Review: same as English","Translated"))</x:f>
        <x:v>Missing</x:v>
      </x:c>
      <x:c r="I113" s="27" t="str"/>
    </x:row>
    <x:row r="114" ht="20" customHeight="1">
      <x:c r="A114" s="25" t="n">
        <x:v>3</x:v>
      </x:c>
      <x:c r="B114" s="25" t="str">
        <x:v>content.subsections[1].paragraphs[1]</x:v>
      </x:c>
      <x:c r="C114" s="25" t="str">
        <x:v>Module 3 subsection 2 paragraph 2</x:v>
      </x:c>
      <x:c r="D114" s="25" t="str">
        <x:v>Confirmation Process:</x:v>
      </x:c>
      <x:c r="E114" s="27" t="str"/>
      <x:c r="F114" s="25" t="str">
        <x:f>IF(E114="","Missing",IF(TRIM(E114)=TRIM(D114),"Review: same as English","Translated"))</x:f>
        <x:v>Missing</x:v>
      </x:c>
      <x:c r="G114" s="27" t="str"/>
      <x:c r="H114" s="25" t="str">
        <x:f>IF(G114="","Missing",IF(TRIM(G114)=TRIM(D114),"Review: same as English","Translated"))</x:f>
        <x:v>Missing</x:v>
      </x:c>
      <x:c r="I114" s="27" t="str"/>
    </x:row>
    <x:row r="115" ht="20" customHeight="1">
      <x:c r="A115" s="25" t="n">
        <x:v>3</x:v>
      </x:c>
      <x:c r="B115" s="25" t="str">
        <x:v>content.subsections[1].paragraphs[2]</x:v>
      </x:c>
      <x:c r="C115" s="25" t="str">
        <x:v>Module 3 subsection 2 paragraph 3</x:v>
      </x:c>
      <x:c r="D115" s="25" t="str">
        <x:v>• Step 1: Supervisor conducts probation review.</x:v>
      </x:c>
      <x:c r="E115" s="27" t="str"/>
      <x:c r="F115" s="25" t="str">
        <x:f>IF(E115="","Missing",IF(TRIM(E115)=TRIM(D115),"Review: same as English","Translated"))</x:f>
        <x:v>Missing</x:v>
      </x:c>
      <x:c r="G115" s="27" t="str"/>
      <x:c r="H115" s="25" t="str">
        <x:f>IF(G115="","Missing",IF(TRIM(G115)=TRIM(D115),"Review: same as English","Translated"))</x:f>
        <x:v>Missing</x:v>
      </x:c>
      <x:c r="I115" s="27" t="str"/>
    </x:row>
    <x:row r="116" ht="20" customHeight="1">
      <x:c r="A116" s="25" t="n">
        <x:v>3</x:v>
      </x:c>
      <x:c r="B116" s="25" t="str">
        <x:v>content.subsections[1].paragraphs[3]</x:v>
      </x:c>
      <x:c r="C116" s="25" t="str">
        <x:v>Module 3 subsection 2 paragraph 4</x:v>
      </x:c>
      <x:c r="D116" s="25" t="str">
        <x:v>• Step 2: Evaluation submitted to Management/HR.</x:v>
      </x:c>
      <x:c r="E116" s="27" t="str"/>
      <x:c r="F116" s="25" t="str">
        <x:f>IF(E116="","Missing",IF(TRIM(E116)=TRIM(D116),"Review: same as English","Translated"))</x:f>
        <x:v>Missing</x:v>
      </x:c>
      <x:c r="G116" s="27" t="str"/>
      <x:c r="H116" s="25" t="str">
        <x:f>IF(G116="","Missing",IF(TRIM(G116)=TRIM(D116),"Review: same as English","Translated"))</x:f>
        <x:v>Missing</x:v>
      </x:c>
      <x:c r="I116" s="27" t="str"/>
    </x:row>
    <x:row r="117" ht="34" customHeight="1">
      <x:c r="A117" s="25" t="n">
        <x:v>3</x:v>
      </x:c>
      <x:c r="B117" s="25" t="str">
        <x:v>content.subsections[1].paragraphs[4]</x:v>
      </x:c>
      <x:c r="C117" s="25" t="str">
        <x:v>Module 3 subsection 2 paragraph 5</x:v>
      </x:c>
      <x:c r="D117" s="25" t="str">
        <x:v>• Step 3: Management determines outcome (Outcome A: Confirmation, Outcome B: Extension, Outcome C: Non-Confirmation).</x:v>
      </x:c>
      <x:c r="E117" s="27" t="str"/>
      <x:c r="F117" s="25" t="str">
        <x:f>IF(E117="","Missing",IF(TRIM(E117)=TRIM(D117),"Review: same as English","Translated"))</x:f>
        <x:v>Missing</x:v>
      </x:c>
      <x:c r="G117" s="27" t="str"/>
      <x:c r="H117" s="25" t="str">
        <x:f>IF(G117="","Missing",IF(TRIM(G117)=TRIM(D117),"Review: same as English","Translated"))</x:f>
        <x:v>Missing</x:v>
      </x:c>
      <x:c r="I117" s="27" t="str"/>
    </x:row>
    <x:row r="118" ht="20" customHeight="1">
      <x:c r="A118" s="25" t="n">
        <x:v>3</x:v>
      </x:c>
      <x:c r="B118" s="25" t="str">
        <x:v>content.subsections[2].title</x:v>
      </x:c>
      <x:c r="C118" s="25" t="str">
        <x:v>Module 3 subsection 3 title</x:v>
      </x:c>
      <x:c r="D118" s="25" t="str">
        <x:v>3. PROMOTION POLICY</x:v>
      </x:c>
      <x:c r="E118" s="27" t="str"/>
      <x:c r="F118" s="25" t="str">
        <x:f>IF(E118="","Missing",IF(TRIM(E118)=TRIM(D118),"Review: same as English","Translated"))</x:f>
        <x:v>Missing</x:v>
      </x:c>
      <x:c r="G118" s="27" t="str"/>
      <x:c r="H118" s="25" t="str">
        <x:f>IF(G118="","Missing",IF(TRIM(G118)=TRIM(D118),"Review: same as English","Translated"))</x:f>
        <x:v>Missing</x:v>
      </x:c>
      <x:c r="I118" s="27" t="str"/>
    </x:row>
    <x:row r="119" ht="62" customHeight="1">
      <x:c r="A119" s="25" t="n">
        <x:v>3</x:v>
      </x:c>
      <x:c r="B119" s="25" t="str">
        <x:v>content.subsections[2].paragraphs[0]</x:v>
      </x:c>
      <x:c r="C119" s="25" t="str">
        <x:v>Module 3 subsection 3 paragraph 1</x:v>
      </x:c>
      <x:c r="D119" s="25" t="str">
        <x:v>Promotions reward consistent high performance, leadership potential, and readiness for greater responsibility. Promotion process involves Manager Recommendation -&gt; Management/HR Assessment -&gt; Management Approval -&gt; Issuance of Promotion Letter.</x:v>
      </x:c>
      <x:c r="E119" s="27" t="str"/>
      <x:c r="F119" s="25" t="str">
        <x:f>IF(E119="","Missing",IF(TRIM(E119)=TRIM(D119),"Review: same as English","Translated"))</x:f>
        <x:v>Missing</x:v>
      </x:c>
      <x:c r="G119" s="27" t="str"/>
      <x:c r="H119" s="25" t="str">
        <x:f>IF(G119="","Missing",IF(TRIM(G119)=TRIM(D119),"Review: same as English","Translated"))</x:f>
        <x:v>Missing</x:v>
      </x:c>
      <x:c r="I119" s="27" t="str"/>
    </x:row>
    <x:row r="120" ht="20" customHeight="1">
      <x:c r="A120" s="25" t="n">
        <x:v>3</x:v>
      </x:c>
      <x:c r="B120" s="25" t="str">
        <x:v>content.subsections[3].title</x:v>
      </x:c>
      <x:c r="C120" s="25" t="str">
        <x:v>Module 3 subsection 4 title</x:v>
      </x:c>
      <x:c r="D120" s="25" t="str">
        <x:v>4. TRANSFER AND MOBILITY POLICY</x:v>
      </x:c>
      <x:c r="E120" s="27" t="str"/>
      <x:c r="F120" s="25" t="str">
        <x:f>IF(E120="","Missing",IF(TRIM(E120)=TRIM(D120),"Review: same as English","Translated"))</x:f>
        <x:v>Missing</x:v>
      </x:c>
      <x:c r="G120" s="27" t="str"/>
      <x:c r="H120" s="25" t="str">
        <x:f>IF(G120="","Missing",IF(TRIM(G120)=TRIM(D120),"Review: same as English","Translated"))</x:f>
        <x:v>Missing</x:v>
      </x:c>
      <x:c r="I120" s="27" t="str"/>
    </x:row>
    <x:row r="121" ht="48" customHeight="1">
      <x:c r="A121" s="25" t="n">
        <x:v>3</x:v>
      </x:c>
      <x:c r="B121" s="25" t="str">
        <x:v>content.subsections[3].paragraphs[0]</x:v>
      </x:c>
      <x:c r="C121" s="25" t="str">
        <x:v>Module 3 subsection 4 paragraph 1</x:v>
      </x:c>
      <x:c r="D121" s="25" t="str">
        <x:v>The Company may transfer employees between departments, teams, projects, business units, or locations to support operations or employee development. Reasonable notice will be provided.</x:v>
      </x:c>
      <x:c r="E121" s="27" t="str"/>
      <x:c r="F121" s="25" t="str">
        <x:f>IF(E121="","Missing",IF(TRIM(E121)=TRIM(D121),"Review: same as English","Translated"))</x:f>
        <x:v>Missing</x:v>
      </x:c>
      <x:c r="G121" s="27" t="str"/>
      <x:c r="H121" s="25" t="str">
        <x:f>IF(G121="","Missing",IF(TRIM(G121)=TRIM(D121),"Review: same as English","Translated"))</x:f>
        <x:v>Missing</x:v>
      </x:c>
      <x:c r="I121" s="27" t="str"/>
    </x:row>
    <x:row r="122" ht="20" customHeight="1">
      <x:c r="A122" s="25" t="n">
        <x:v>3</x:v>
      </x:c>
      <x:c r="B122" s="25" t="str">
        <x:v>content.subsections[4].title</x:v>
      </x:c>
      <x:c r="C122" s="25" t="str">
        <x:v>Module 3 subsection 5 title</x:v>
      </x:c>
      <x:c r="D122" s="25" t="str">
        <x:v>5. ACTING APPOINTMENT POLICY</x:v>
      </x:c>
      <x:c r="E122" s="27" t="str"/>
      <x:c r="F122" s="25" t="str">
        <x:f>IF(E122="","Missing",IF(TRIM(E122)=TRIM(D122),"Review: same as English","Translated"))</x:f>
        <x:v>Missing</x:v>
      </x:c>
      <x:c r="G122" s="27" t="str"/>
      <x:c r="H122" s="25" t="str">
        <x:f>IF(G122="","Missing",IF(TRIM(G122)=TRIM(D122),"Review: same as English","Translated"))</x:f>
        <x:v>Missing</x:v>
      </x:c>
      <x:c r="I122" s="27" t="str"/>
    </x:row>
    <x:row r="123" ht="48" customHeight="1">
      <x:c r="A123" s="25" t="n">
        <x:v>3</x:v>
      </x:c>
      <x:c r="B123" s="25" t="str">
        <x:v>content.subsections[4].paragraphs[0]</x:v>
      </x:c>
      <x:c r="C123" s="25" t="str">
        <x:v>Module 3 subsection 5 paragraph 1</x:v>
      </x:c>
      <x:c r="D123" s="25" t="str">
        <x:v>Employees may be temporarily appointed to assume additional responsibilities due to leave, resignation, or vacancies. An acting appointment does not constitute or guarantee a promotion.</x:v>
      </x:c>
      <x:c r="E123" s="27" t="str"/>
      <x:c r="F123" s="25" t="str">
        <x:f>IF(E123="","Missing",IF(TRIM(E123)=TRIM(D123),"Review: same as English","Translated"))</x:f>
        <x:v>Missing</x:v>
      </x:c>
      <x:c r="G123" s="27" t="str"/>
      <x:c r="H123" s="25" t="str">
        <x:f>IF(G123="","Missing",IF(TRIM(G123)=TRIM(D123),"Review: same as English","Translated"))</x:f>
        <x:v>Missing</x:v>
      </x:c>
      <x:c r="I123" s="27" t="str"/>
    </x:row>
    <x:row r="124" ht="20" customHeight="1">
      <x:c r="A124" s="25" t="n">
        <x:v>3</x:v>
      </x:c>
      <x:c r="B124" s="25" t="str">
        <x:v>content.subsections[5].title</x:v>
      </x:c>
      <x:c r="C124" s="25" t="str">
        <x:v>Module 3 subsection 6 title</x:v>
      </x:c>
      <x:c r="D124" s="25" t="str">
        <x:v>6. DEMOTION POLICY</x:v>
      </x:c>
      <x:c r="E124" s="27" t="str"/>
      <x:c r="F124" s="25" t="str">
        <x:f>IF(E124="","Missing",IF(TRIM(E124)=TRIM(D124),"Review: same as English","Translated"))</x:f>
        <x:v>Missing</x:v>
      </x:c>
      <x:c r="G124" s="27" t="str"/>
      <x:c r="H124" s="25" t="str">
        <x:f>IF(G124="","Missing",IF(TRIM(G124)=TRIM(D124),"Review: same as English","Translated"))</x:f>
        <x:v>Missing</x:v>
      </x:c>
      <x:c r="I124" s="27" t="str"/>
    </x:row>
    <x:row r="125" ht="48" customHeight="1">
      <x:c r="A125" s="25" t="n">
        <x:v>3</x:v>
      </x:c>
      <x:c r="B125" s="25" t="str">
        <x:v>content.subsections[5].paragraphs[0]</x:v>
      </x:c>
      <x:c r="C125" s="25" t="str">
        <x:v>Module 3 subsection 6 paragraph 1</x:v>
      </x:c>
      <x:c r="D125" s="25" t="str">
        <x:v>Demotion refers to reassignment to a lower position, grade, or responsibility level due to restructuring, performance, disciplinary reasons, or mutual agreement.</x:v>
      </x:c>
      <x:c r="E125" s="27" t="str"/>
      <x:c r="F125" s="25" t="str">
        <x:f>IF(E125="","Missing",IF(TRIM(E125)=TRIM(D125),"Review: same as English","Translated"))</x:f>
        <x:v>Missing</x:v>
      </x:c>
      <x:c r="G125" s="27" t="str"/>
      <x:c r="H125" s="25" t="str">
        <x:f>IF(G125="","Missing",IF(TRIM(G125)=TRIM(D125),"Review: same as English","Translated"))</x:f>
        <x:v>Missing</x:v>
      </x:c>
      <x:c r="I125" s="27" t="str"/>
    </x:row>
    <x:row r="126" ht="20" customHeight="1">
      <x:c r="A126" s="25" t="n">
        <x:v>3</x:v>
      </x:c>
      <x:c r="B126" s="25" t="str">
        <x:v>content.subsections[6].title</x:v>
      </x:c>
      <x:c r="C126" s="25" t="str">
        <x:v>Module 3 subsection 7 title</x:v>
      </x:c>
      <x:c r="D126" s="25" t="str">
        <x:v>7. INTERNAL RECRUITMENT &amp; 8. SUCCESSION PLANNING</x:v>
      </x:c>
      <x:c r="E126" s="27" t="str"/>
      <x:c r="F126" s="25" t="str">
        <x:f>IF(E126="","Missing",IF(TRIM(E126)=TRIM(D126),"Review: same as English","Translated"))</x:f>
        <x:v>Missing</x:v>
      </x:c>
      <x:c r="G126" s="27" t="str"/>
      <x:c r="H126" s="25" t="str">
        <x:f>IF(G126="","Missing",IF(TRIM(G126)=TRIM(D126),"Review: same as English","Translated"))</x:f>
        <x:v>Missing</x:v>
      </x:c>
      <x:c r="I126" s="27" t="str"/>
    </x:row>
    <x:row r="127" ht="48" customHeight="1">
      <x:c r="A127" s="25" t="n">
        <x:v>3</x:v>
      </x:c>
      <x:c r="B127" s="25" t="str">
        <x:v>content.subsections[6].paragraphs[0]</x:v>
      </x:c>
      <x:c r="C127" s="25" t="str">
        <x:v>Module 3 subsection 7 paragraph 1</x:v>
      </x:c>
      <x:c r="D127" s="25" t="str">
        <x:v>Internal vacancies may be advertised before external recruitment. Succession planning aims to identify high-potential talent, build pipelines, and support long-term growth.</x:v>
      </x:c>
      <x:c r="E127" s="27" t="str"/>
      <x:c r="F127" s="25" t="str">
        <x:f>IF(E127="","Missing",IF(TRIM(E127)=TRIM(D127),"Review: same as English","Translated"))</x:f>
        <x:v>Missing</x:v>
      </x:c>
      <x:c r="G127" s="27" t="str"/>
      <x:c r="H127" s="25" t="str">
        <x:f>IF(G127="","Missing",IF(TRIM(G127)=TRIM(D127),"Review: same as English","Translated"))</x:f>
        <x:v>Missing</x:v>
      </x:c>
      <x:c r="I127" s="27" t="str"/>
    </x:row>
    <x:row r="128" ht="20" customHeight="1">
      <x:c r="A128" s="25" t="n">
        <x:v>3</x:v>
      </x:c>
      <x:c r="B128" s="25" t="str">
        <x:v>content.subsections[7].title</x:v>
      </x:c>
      <x:c r="C128" s="25" t="str">
        <x:v>Module 3 subsection 8 title</x:v>
      </x:c>
      <x:c r="D128" s="25" t="str">
        <x:v>9. TRAINING &amp; DEVELOPMENT &amp; 10. TRAINING BOND POLICY</x:v>
      </x:c>
      <x:c r="E128" s="27" t="str"/>
      <x:c r="F128" s="25" t="str">
        <x:f>IF(E128="","Missing",IF(TRIM(E128)=TRIM(D128),"Review: same as English","Translated"))</x:f>
        <x:v>Missing</x:v>
      </x:c>
      <x:c r="G128" s="27" t="str"/>
      <x:c r="H128" s="25" t="str">
        <x:f>IF(G128="","Missing",IF(TRIM(G128)=TRIM(D128),"Review: same as English","Translated"))</x:f>
        <x:v>Missing</x:v>
      </x:c>
      <x:c r="I128" s="27" t="str"/>
    </x:row>
    <x:row r="129" ht="34" customHeight="1">
      <x:c r="A129" s="25" t="n">
        <x:v>3</x:v>
      </x:c>
      <x:c r="B129" s="25" t="str">
        <x:v>content.subsections[7].paragraphs[0]</x:v>
      </x:c>
      <x:c r="C129" s="25" t="str">
        <x:v>Module 3 subsection 8 paragraph 1</x:v>
      </x:c>
      <x:c r="D129" s="25" t="str">
        <x:v>Training includes Orientation, On-the-Job, Technical, Leadership, Workshops, Certifications, and Online Learning.</x:v>
      </x:c>
      <x:c r="E129" s="27" t="str"/>
      <x:c r="F129" s="25" t="str">
        <x:f>IF(E129="","Missing",IF(TRIM(E129)=TRIM(D129),"Review: same as English","Translated"))</x:f>
        <x:v>Missing</x:v>
      </x:c>
      <x:c r="G129" s="27" t="str"/>
      <x:c r="H129" s="25" t="str">
        <x:f>IF(G129="","Missing",IF(TRIM(G129)=TRIM(D129),"Review: same as English","Translated"))</x:f>
        <x:v>Missing</x:v>
      </x:c>
      <x:c r="I129" s="27" t="str"/>
    </x:row>
    <x:row r="130" ht="62" customHeight="1">
      <x:c r="A130" s="25" t="n">
        <x:v>3</x:v>
      </x:c>
      <x:c r="B130" s="25" t="str">
        <x:v>content.subsections[7].paragraphs[1]</x:v>
      </x:c>
      <x:c r="C130" s="25" t="str">
        <x:v>Module 3 subsection 8 paragraph 2</x:v>
      </x:c>
      <x:c r="D130" s="25" t="str">
        <x:v>Where the Company sponsors employees for external courses, certifications, or overseas training, employees may enter into a Training Bond Agreement detailing the bond period and reimbursement obligations upon early resignation.</x:v>
      </x:c>
      <x:c r="E130" s="27" t="str"/>
      <x:c r="F130" s="25" t="str">
        <x:f>IF(E130="","Missing",IF(TRIM(E130)=TRIM(D130),"Review: same as English","Translated"))</x:f>
        <x:v>Missing</x:v>
      </x:c>
      <x:c r="G130" s="27" t="str"/>
      <x:c r="H130" s="25" t="str">
        <x:f>IF(G130="","Missing",IF(TRIM(G130)=TRIM(D130),"Review: same as English","Translated"))</x:f>
        <x:v>Missing</x:v>
      </x:c>
      <x:c r="I130" s="27" t="str"/>
    </x:row>
    <x:row r="131" ht="20" customHeight="1">
      <x:c r="A131" s="25" t="n">
        <x:v>3</x:v>
      </x:c>
      <x:c r="B131" s="25" t="str">
        <x:v>content.subsections[8].title</x:v>
      </x:c>
      <x:c r="C131" s="25" t="str">
        <x:v>Module 3 subsection 9 title</x:v>
      </x:c>
      <x:c r="D131" s="25" t="str">
        <x:v>EMPLOYEE LIFECYCLE AT REDPOINT</x:v>
      </x:c>
      <x:c r="E131" s="27" t="str"/>
      <x:c r="F131" s="25" t="str">
        <x:f>IF(E131="","Missing",IF(TRIM(E131)=TRIM(D131),"Review: same as English","Translated"))</x:f>
        <x:v>Missing</x:v>
      </x:c>
      <x:c r="G131" s="27" t="str"/>
      <x:c r="H131" s="25" t="str">
        <x:f>IF(G131="","Missing",IF(TRIM(G131)=TRIM(D131),"Review: same as English","Translated"))</x:f>
        <x:v>Missing</x:v>
      </x:c>
      <x:c r="I131" s="27" t="str"/>
    </x:row>
    <x:row r="132" ht="48" customHeight="1">
      <x:c r="A132" s="25" t="n">
        <x:v>3</x:v>
      </x:c>
      <x:c r="B132" s="25" t="str">
        <x:v>content.subsections[8].paragraphs[0]</x:v>
      </x:c>
      <x:c r="C132" s="25" t="str">
        <x:v>Module 3 subsection 9 paragraph 1</x:v>
      </x:c>
      <x:c r="D132" s="25" t="str">
        <x:v>Recruitment → Probation → Confirmation → Development &amp; Training → Career Growth → Promotion / Transfer → Leadership Development → Succession Planning → Separation of Employment</x:v>
      </x:c>
      <x:c r="E132" s="27" t="str"/>
      <x:c r="F132" s="25" t="str">
        <x:f>IF(E132="","Missing",IF(TRIM(E132)=TRIM(D132),"Review: same as English","Translated"))</x:f>
        <x:v>Missing</x:v>
      </x:c>
      <x:c r="G132" s="27" t="str"/>
      <x:c r="H132" s="25" t="str">
        <x:f>IF(G132="","Missing",IF(TRIM(G132)=TRIM(D132),"Review: same as English","Translated"))</x:f>
        <x:v>Missing</x:v>
      </x:c>
      <x:c r="I132" s="27" t="str"/>
    </x:row>
    <x:row r="133" ht="34" customHeight="1">
      <x:c r="A133" s="25" t="n">
        <x:v>3</x:v>
      </x:c>
      <x:c r="B133" s="25" t="str">
        <x:v>content.keyTakeaway</x:v>
      </x:c>
      <x:c r="C133" s="25" t="str">
        <x:v>Module 3 key takeaway</x:v>
      </x:c>
      <x:c r="D133" s="25" t="str">
        <x:v>Confirmation of employment is not automatic and remains subject to Management approval and issuance of a written Confirmation Letter.</x:v>
      </x:c>
      <x:c r="E133" s="27" t="str">
        <x:v>Laporkan sebarang masalah keselamatan atau bahaya kepada pengurusan fasiliti dengan segera.</x:v>
      </x:c>
      <x:c r="F133" s="25" t="str">
        <x:f>IF(E133="","Missing",IF(TRIM(E133)=TRIM(D133),"Review: same as English","Translated"))</x:f>
        <x:v>Translated</x:v>
      </x:c>
      <x:c r="G133" s="27" t="str">
        <x:v>如发现任何安全隐患，请立即向物业设施管理部门报告。</x:v>
      </x:c>
      <x:c r="H133" s="25" t="str">
        <x:f>IF(G133="","Missing",IF(TRIM(G133)=TRIM(D133),"Review: same as English","Translated"))</x:f>
        <x:v>Translated</x:v>
      </x:c>
      <x:c r="I133" s="27" t="str"/>
    </x:row>
    <x:row r="134" ht="20" customHeight="1">
      <x:c r="A134" s="25" t="n">
        <x:v>4</x:v>
      </x:c>
      <x:c r="B134" s="25" t="str">
        <x:v>title</x:v>
      </x:c>
      <x:c r="C134" s="25" t="str">
        <x:v>Module 4 title</x:v>
      </x:c>
      <x:c r="D134" s="25" t="str">
        <x:v>Part 4 – Working Hours &amp; Attendance</x:v>
      </x:c>
      <x:c r="E134" s="27" t="str">
        <x:v>4. Gambaran Keseluruhan Faedah &amp; Cuti</x:v>
      </x:c>
      <x:c r="F134" s="25" t="str">
        <x:f>IF(E134="","Missing",IF(TRIM(E134)=TRIM(D134),"Review: same as English","Translated"))</x:f>
        <x:v>Translated</x:v>
      </x:c>
      <x:c r="G134" s="27" t="str">
        <x:v>4. 员工福利与休假概览</x:v>
      </x:c>
      <x:c r="H134" s="25" t="str">
        <x:f>IF(G134="","Missing",IF(TRIM(G134)=TRIM(D134),"Review: same as English","Translated"))</x:f>
        <x:v>Translated</x:v>
      </x:c>
      <x:c r="I134" s="27" t="str"/>
    </x:row>
    <x:row r="135" ht="34" customHeight="1">
      <x:c r="A135" s="25" t="n">
        <x:v>4</x:v>
      </x:c>
      <x:c r="B135" s="25" t="str">
        <x:v>subtitle</x:v>
      </x:c>
      <x:c r="C135" s="25" t="str">
        <x:v>Module 4 subtitle</x:v>
      </x:c>
      <x:c r="D135" s="25" t="str">
        <x:v>Schedules, flexible &amp; remote work, attendance, timekeeping, late policy matrix, overtime &amp; rest days</x:v>
      </x:c>
      <x:c r="E135" s="27" t="str">
        <x:v>Penjagaan kesihatan, kelayakan cuti, elaun pembelajaran, dan tuntutan</x:v>
      </x:c>
      <x:c r="F135" s="25" t="str">
        <x:f>IF(E135="","Missing",IF(TRIM(E135)=TRIM(D135),"Review: same as English","Translated"))</x:f>
        <x:v>Translated</x:v>
      </x:c>
      <x:c r="G135" s="27" t="str">
        <x:v>医疗保险、休假额度、专业学习津贴与报销流程</x:v>
      </x:c>
      <x:c r="H135" s="25" t="str">
        <x:f>IF(G135="","Missing",IF(TRIM(G135)=TRIM(D135),"Review: same as English","Translated"))</x:f>
        <x:v>Translated</x:v>
      </x:c>
      <x:c r="I135" s="27" t="str"/>
    </x:row>
    <x:row r="136" ht="20" customHeight="1">
      <x:c r="A136" s="25" t="n">
        <x:v>4</x:v>
      </x:c>
      <x:c r="B136" s="25" t="str">
        <x:v>content.sectionTitle</x:v>
      </x:c>
      <x:c r="C136" s="25" t="str">
        <x:v>Module 4 section heading</x:v>
      </x:c>
      <x:c r="D136" s="25" t="str">
        <x:v>PART 4 – WORKING HOURS &amp; ATTENDANCE</x:v>
      </x:c>
      <x:c r="E136" s="27" t="str">
        <x:v>Faedah Pekerja &amp; Program Kesejahteraan</x:v>
      </x:c>
      <x:c r="F136" s="25" t="str">
        <x:f>IF(E136="","Missing",IF(TRIM(E136)=TRIM(D136),"Review: same as English","Translated"))</x:f>
        <x:v>Translated</x:v>
      </x:c>
      <x:c r="G136" s="27" t="str">
        <x:v>员工福利与健康保障计划</x:v>
      </x:c>
      <x:c r="H136" s="25" t="str">
        <x:f>IF(G136="","Missing",IF(TRIM(G136)=TRIM(D136),"Review: same as English","Translated"))</x:f>
        <x:v>Translated</x:v>
      </x:c>
      <x:c r="I136" s="27" t="str"/>
    </x:row>
    <x:row r="137" ht="62" customHeight="1">
      <x:c r="A137" s="25" t="n">
        <x:v>4</x:v>
      </x:c>
      <x:c r="B137" s="25" t="str">
        <x:v>content.bodyParagraphs[0]</x:v>
      </x:c>
      <x:c r="C137" s="25" t="str">
        <x:v>Module 4 opening paragraph 1</x:v>
      </x:c>
      <x:c r="D137" s="25" t="str">
        <x:v>The Company recognises the importance of work-life balance while ensuring operational efficiency and service excellence. Employees are expected to observe assigned schedules, maintain punctuality, and comply with attendance rules.</x:v>
      </x:c>
      <x:c r="E137" s="27" t="str">
        <x:v>Pakej faedah komprehensif kami merangkumi insurans perubatan, perlindungan pergigian, 18 hari cuti tahunan, dan kredit pembangunan profesional tahunan sebanyak RM3,000.</x:v>
      </x:c>
      <x:c r="F137" s="25" t="str">
        <x:f>IF(E137="","Missing",IF(TRIM(E137)=TRIM(D137),"Review: same as English","Translated"))</x:f>
        <x:v>Translated</x:v>
      </x:c>
      <x:c r="G137" s="27" t="str">
        <x:v>我们的综合福利包括全额医疗与牙科保险、18天年假以及每年 RM3,000 的个人专业发展与健康津贴。</x:v>
      </x:c>
      <x:c r="H137" s="25" t="str">
        <x:f>IF(G137="","Missing",IF(TRIM(G137)=TRIM(D137),"Review: same as English","Translated"))</x:f>
        <x:v>Translated</x:v>
      </x:c>
      <x:c r="I137" s="27" t="str"/>
    </x:row>
    <x:row r="138" ht="20" customHeight="1">
      <x:c r="A138" s="25" t="n">
        <x:v>4</x:v>
      </x:c>
      <x:c r="B138" s="25" t="str">
        <x:v>content.subsections[0].title</x:v>
      </x:c>
      <x:c r="C138" s="25" t="str">
        <x:v>Module 4 subsection 1 title</x:v>
      </x:c>
      <x:c r="D138" s="25" t="str">
        <x:v>1. WORKING HOURS POLICY</x:v>
      </x:c>
      <x:c r="E138" s="27" t="str"/>
      <x:c r="F138" s="25" t="str">
        <x:f>IF(E138="","Missing",IF(TRIM(E138)=TRIM(D138),"Review: same as English","Translated"))</x:f>
        <x:v>Missing</x:v>
      </x:c>
      <x:c r="G138" s="27" t="str"/>
      <x:c r="H138" s="25" t="str">
        <x:f>IF(G138="","Missing",IF(TRIM(G138)=TRIM(D138),"Review: same as English","Translated"))</x:f>
        <x:v>Missing</x:v>
      </x:c>
      <x:c r="I138" s="27" t="str"/>
    </x:row>
    <x:row r="139" ht="48" customHeight="1">
      <x:c r="A139" s="25" t="n">
        <x:v>4</x:v>
      </x:c>
      <x:c r="B139" s="25" t="str">
        <x:v>content.subsections[0].paragraphs[0]</x:v>
      </x:c>
      <x:c r="C139" s="25" t="str">
        <x:v>Module 4 subsection 1 paragraph 1</x:v>
      </x:c>
      <x:c r="D139" s="25" t="str">
        <x:v>Working days, hours, rest days, and schedules depend on position, department, and Employment Contract (e.g., 5-day, 5.5-day, 6-day, shift, flexible, remote/hybrid, event-based).</x:v>
      </x:c>
      <x:c r="E139" s="27" t="str"/>
      <x:c r="F139" s="25" t="str">
        <x:f>IF(E139="","Missing",IF(TRIM(E139)=TRIM(D139),"Review: same as English","Translated"))</x:f>
        <x:v>Missing</x:v>
      </x:c>
      <x:c r="G139" s="27" t="str"/>
      <x:c r="H139" s="25" t="str">
        <x:f>IF(G139="","Missing",IF(TRIM(G139)=TRIM(D139),"Review: same as English","Translated"))</x:f>
        <x:v>Missing</x:v>
      </x:c>
      <x:c r="I139" s="27" t="str"/>
    </x:row>
    <x:row r="140" ht="48" customHeight="1">
      <x:c r="A140" s="25" t="n">
        <x:v>4</x:v>
      </x:c>
      <x:c r="B140" s="25" t="str">
        <x:v>content.subsections[0].paragraphs[1]</x:v>
      </x:c>
      <x:c r="C140" s="25" t="str">
        <x:v>Module 4 subsection 1 paragraph 2</x:v>
      </x:c>
      <x:c r="D140" s="25" t="str">
        <x:v>Full working days include a 1-hour unpaid meal break. Employees shall not work more than 8 hours per day or 45 hours per week (excluding meal breaks) unless approved for overtime.</x:v>
      </x:c>
      <x:c r="E140" s="27" t="str"/>
      <x:c r="F140" s="25" t="str">
        <x:f>IF(E140="","Missing",IF(TRIM(E140)=TRIM(D140),"Review: same as English","Translated"))</x:f>
        <x:v>Missing</x:v>
      </x:c>
      <x:c r="G140" s="27" t="str"/>
      <x:c r="H140" s="25" t="str">
        <x:f>IF(G140="","Missing",IF(TRIM(G140)=TRIM(D140),"Review: same as English","Translated"))</x:f>
        <x:v>Missing</x:v>
      </x:c>
      <x:c r="I140" s="27" t="str"/>
    </x:row>
    <x:row r="141" ht="20" customHeight="1">
      <x:c r="A141" s="25" t="n">
        <x:v>4</x:v>
      </x:c>
      <x:c r="B141" s="25" t="str">
        <x:v>content.subsections[1].title</x:v>
      </x:c>
      <x:c r="C141" s="25" t="str">
        <x:v>Module 4 subsection 2 title</x:v>
      </x:c>
      <x:c r="D141" s="25" t="str">
        <x:v>2. FLEXIBLE (FWA), REMOTE, HYBRID &amp; SHIFT WORK POLICIES</x:v>
      </x:c>
      <x:c r="E141" s="27" t="str"/>
      <x:c r="F141" s="25" t="str">
        <x:f>IF(E141="","Missing",IF(TRIM(E141)=TRIM(D141),"Review: same as English","Translated"))</x:f>
        <x:v>Missing</x:v>
      </x:c>
      <x:c r="G141" s="27" t="str"/>
      <x:c r="H141" s="25" t="str">
        <x:f>IF(G141="","Missing",IF(TRIM(G141)=TRIM(D141),"Review: same as English","Translated"))</x:f>
        <x:v>Missing</x:v>
      </x:c>
      <x:c r="I141" s="27" t="str"/>
    </x:row>
    <x:row r="142" ht="34" customHeight="1">
      <x:c r="A142" s="25" t="n">
        <x:v>4</x:v>
      </x:c>
      <x:c r="B142" s="25" t="str">
        <x:v>content.subsections[1].paragraphs[0]</x:v>
      </x:c>
      <x:c r="C142" s="25" t="str">
        <x:v>Module 4 subsection 2 paragraph 1</x:v>
      </x:c>
      <x:c r="D142" s="25" t="str">
        <x:v>FWA, Remote, and Hybrid work are privileges requiring prior approval and may be revoked at any time.</x:v>
      </x:c>
      <x:c r="E142" s="27" t="str"/>
      <x:c r="F142" s="25" t="str">
        <x:f>IF(E142="","Missing",IF(TRIM(E142)=TRIM(D142),"Review: same as English","Translated"))</x:f>
        <x:v>Missing</x:v>
      </x:c>
      <x:c r="G142" s="27" t="str"/>
      <x:c r="H142" s="25" t="str">
        <x:f>IF(G142="","Missing",IF(TRIM(G142)=TRIM(D142),"Review: same as English","Translated"))</x:f>
        <x:v>Missing</x:v>
      </x:c>
      <x:c r="I142" s="27" t="str"/>
    </x:row>
    <x:row r="143" ht="34" customHeight="1">
      <x:c r="A143" s="25" t="n">
        <x:v>4</x:v>
      </x:c>
      <x:c r="B143" s="25" t="str">
        <x:v>content.subsections[1].paragraphs[1]</x:v>
      </x:c>
      <x:c r="C143" s="25" t="str">
        <x:v>Module 4 subsection 2 paragraph 2</x:v>
      </x:c>
      <x:c r="D143" s="25" t="str">
        <x:v>Employees working remotely must remain contactable during working hours, attend meetings promptly, and safeguard company information.</x:v>
      </x:c>
      <x:c r="E143" s="27" t="str"/>
      <x:c r="F143" s="25" t="str">
        <x:f>IF(E143="","Missing",IF(TRIM(E143)=TRIM(D143),"Review: same as English","Translated"))</x:f>
        <x:v>Missing</x:v>
      </x:c>
      <x:c r="G143" s="27" t="str"/>
      <x:c r="H143" s="25" t="str">
        <x:f>IF(G143="","Missing",IF(TRIM(G143)=TRIM(D143),"Review: same as English","Translated"))</x:f>
        <x:v>Missing</x:v>
      </x:c>
      <x:c r="I143" s="27" t="str"/>
    </x:row>
    <x:row r="144" ht="20" customHeight="1">
      <x:c r="A144" s="25" t="n">
        <x:v>4</x:v>
      </x:c>
      <x:c r="B144" s="25" t="str">
        <x:v>content.subsections[2].title</x:v>
      </x:c>
      <x:c r="C144" s="25" t="str">
        <x:v>Module 4 subsection 3 title</x:v>
      </x:c>
      <x:c r="D144" s="25" t="str">
        <x:v>3. TIMEKEEPING &amp; LATE COMING POLICY</x:v>
      </x:c>
      <x:c r="E144" s="27" t="str"/>
      <x:c r="F144" s="25" t="str">
        <x:f>IF(E144="","Missing",IF(TRIM(E144)=TRIM(D144),"Review: same as English","Translated"))</x:f>
        <x:v>Missing</x:v>
      </x:c>
      <x:c r="G144" s="27" t="str"/>
      <x:c r="H144" s="25" t="str">
        <x:f>IF(G144="","Missing",IF(TRIM(G144)=TRIM(D144),"Review: same as English","Translated"))</x:f>
        <x:v>Missing</x:v>
      </x:c>
      <x:c r="I144" s="27" t="str"/>
    </x:row>
    <x:row r="145" ht="48" customHeight="1">
      <x:c r="A145" s="25" t="n">
        <x:v>4</x:v>
      </x:c>
      <x:c r="B145" s="25" t="str">
        <x:v>content.subsections[2].paragraphs[0]</x:v>
      </x:c>
      <x:c r="C145" s="25" t="str">
        <x:v>Module 4 subsection 3 paragraph 1</x:v>
      </x:c>
      <x:c r="D145" s="25" t="str">
        <x:v>Attendance must be recorded using Biometric, Mobile App, GPS Clock-In, or Manual Register. Clocking in on behalf of others or falsifying records constitutes serious misconduct.</x:v>
      </x:c>
      <x:c r="E145" s="27" t="str"/>
      <x:c r="F145" s="25" t="str">
        <x:f>IF(E145="","Missing",IF(TRIM(E145)=TRIM(D145),"Review: same as English","Translated"))</x:f>
        <x:v>Missing</x:v>
      </x:c>
      <x:c r="G145" s="27" t="str"/>
      <x:c r="H145" s="25" t="str">
        <x:f>IF(G145="","Missing",IF(TRIM(G145)=TRIM(D145),"Review: same as English","Translated"))</x:f>
        <x:v>Missing</x:v>
      </x:c>
      <x:c r="I145" s="27" t="str"/>
    </x:row>
    <x:row r="146" ht="34" customHeight="1">
      <x:c r="A146" s="25" t="n">
        <x:v>4</x:v>
      </x:c>
      <x:c r="B146" s="25" t="str">
        <x:v>content.subsections[2].paragraphs[1]</x:v>
      </x:c>
      <x:c r="C146" s="25" t="str">
        <x:v>Module 4 subsection 3 paragraph 2</x:v>
      </x:c>
      <x:c r="D146" s="25" t="str">
        <x:v>A 15-minute grace period may be allowed at Management discretion. Late coming disciplinary matrix:</x:v>
      </x:c>
      <x:c r="E146" s="27" t="str"/>
      <x:c r="F146" s="25" t="str">
        <x:f>IF(E146="","Missing",IF(TRIM(E146)=TRIM(D146),"Review: same as English","Translated"))</x:f>
        <x:v>Missing</x:v>
      </x:c>
      <x:c r="G146" s="27" t="str"/>
      <x:c r="H146" s="25" t="str">
        <x:f>IF(G146="","Missing",IF(TRIM(G146)=TRIM(D146),"Review: same as English","Translated"))</x:f>
        <x:v>Missing</x:v>
      </x:c>
      <x:c r="I146" s="27" t="str"/>
    </x:row>
    <x:row r="147" ht="20" customHeight="1">
      <x:c r="A147" s="25" t="n">
        <x:v>4</x:v>
      </x:c>
      <x:c r="B147" s="25" t="str">
        <x:v>content.subsections[2].table.headers[0]</x:v>
      </x:c>
      <x:c r="C147" s="25" t="str">
        <x:v>Module 4 subsection 3 table header 1</x:v>
      </x:c>
      <x:c r="D147" s="25" t="str">
        <x:v>Offence Frequency</x:v>
      </x:c>
      <x:c r="E147" s="27" t="str"/>
      <x:c r="F147" s="25" t="str">
        <x:f>IF(E147="","Missing",IF(TRIM(E147)=TRIM(D147),"Review: same as English","Translated"))</x:f>
        <x:v>Missing</x:v>
      </x:c>
      <x:c r="G147" s="27" t="str"/>
      <x:c r="H147" s="25" t="str">
        <x:f>IF(G147="","Missing",IF(TRIM(G147)=TRIM(D147),"Review: same as English","Translated"))</x:f>
        <x:v>Missing</x:v>
      </x:c>
      <x:c r="I147" s="27" t="str"/>
    </x:row>
    <x:row r="148" ht="20" customHeight="1">
      <x:c r="A148" s="25" t="n">
        <x:v>4</x:v>
      </x:c>
      <x:c r="B148" s="25" t="str">
        <x:v>content.subsections[2].table.headers[1]</x:v>
      </x:c>
      <x:c r="C148" s="25" t="str">
        <x:v>Module 4 subsection 3 table header 2</x:v>
      </x:c>
      <x:c r="D148" s="25" t="str">
        <x:v>Disciplinary Action / Outcome</x:v>
      </x:c>
      <x:c r="E148" s="27" t="str"/>
      <x:c r="F148" s="25" t="str">
        <x:f>IF(E148="","Missing",IF(TRIM(E148)=TRIM(D148),"Review: same as English","Translated"))</x:f>
        <x:v>Missing</x:v>
      </x:c>
      <x:c r="G148" s="27" t="str"/>
      <x:c r="H148" s="25" t="str">
        <x:f>IF(G148="","Missing",IF(TRIM(G148)=TRIM(D148),"Review: same as English","Translated"))</x:f>
        <x:v>Missing</x:v>
      </x:c>
      <x:c r="I148" s="27" t="str"/>
    </x:row>
    <x:row r="149" ht="20" customHeight="1">
      <x:c r="A149" s="25" t="n">
        <x:v>4</x:v>
      </x:c>
      <x:c r="B149" s="25" t="str">
        <x:v>content.subsections[2].table.rows[0][0]</x:v>
      </x:c>
      <x:c r="C149" s="25" t="str">
        <x:v>Module 4 subsection 3 table row 1, column 1</x:v>
      </x:c>
      <x:c r="D149" s="25" t="str">
        <x:v>First Occurrence</x:v>
      </x:c>
      <x:c r="E149" s="27" t="str"/>
      <x:c r="F149" s="25" t="str">
        <x:f>IF(E149="","Missing",IF(TRIM(E149)=TRIM(D149),"Review: same as English","Translated"))</x:f>
        <x:v>Missing</x:v>
      </x:c>
      <x:c r="G149" s="27" t="str"/>
      <x:c r="H149" s="25" t="str">
        <x:f>IF(G149="","Missing",IF(TRIM(G149)=TRIM(D149),"Review: same as English","Translated"))</x:f>
        <x:v>Missing</x:v>
      </x:c>
      <x:c r="I149" s="27" t="str"/>
    </x:row>
    <x:row r="150" ht="20" customHeight="1">
      <x:c r="A150" s="25" t="n">
        <x:v>4</x:v>
      </x:c>
      <x:c r="B150" s="25" t="str">
        <x:v>content.subsections[2].table.rows[0][1]</x:v>
      </x:c>
      <x:c r="C150" s="25" t="str">
        <x:v>Module 4 subsection 3 table row 1, column 2</x:v>
      </x:c>
      <x:c r="D150" s="25" t="str">
        <x:v>Verbal Reminder</x:v>
      </x:c>
      <x:c r="E150" s="27" t="str"/>
      <x:c r="F150" s="25" t="str">
        <x:f>IF(E150="","Missing",IF(TRIM(E150)=TRIM(D150),"Review: same as English","Translated"))</x:f>
        <x:v>Missing</x:v>
      </x:c>
      <x:c r="G150" s="27" t="str"/>
      <x:c r="H150" s="25" t="str">
        <x:f>IF(G150="","Missing",IF(TRIM(G150)=TRIM(D150),"Review: same as English","Translated"))</x:f>
        <x:v>Missing</x:v>
      </x:c>
      <x:c r="I150" s="27" t="str"/>
    </x:row>
    <x:row r="151" ht="20" customHeight="1">
      <x:c r="A151" s="25" t="n">
        <x:v>4</x:v>
      </x:c>
      <x:c r="B151" s="25" t="str">
        <x:v>content.subsections[2].table.rows[1][0]</x:v>
      </x:c>
      <x:c r="C151" s="25" t="str">
        <x:v>Module 4 subsection 3 table row 2, column 1</x:v>
      </x:c>
      <x:c r="D151" s="25" t="str">
        <x:v>Three (3) Instances Within One Month</x:v>
      </x:c>
      <x:c r="E151" s="27" t="str"/>
      <x:c r="F151" s="25" t="str">
        <x:f>IF(E151="","Missing",IF(TRIM(E151)=TRIM(D151),"Review: same as English","Translated"))</x:f>
        <x:v>Missing</x:v>
      </x:c>
      <x:c r="G151" s="27" t="str"/>
      <x:c r="H151" s="25" t="str">
        <x:f>IF(G151="","Missing",IF(TRIM(G151)=TRIM(D151),"Review: same as English","Translated"))</x:f>
        <x:v>Missing</x:v>
      </x:c>
      <x:c r="I151" s="27" t="str"/>
    </x:row>
    <x:row r="152" ht="20" customHeight="1">
      <x:c r="A152" s="25" t="n">
        <x:v>4</x:v>
      </x:c>
      <x:c r="B152" s="25" t="str">
        <x:v>content.subsections[2].table.rows[1][1]</x:v>
      </x:c>
      <x:c r="C152" s="25" t="str">
        <x:v>Module 4 subsection 3 table row 2, column 2</x:v>
      </x:c>
      <x:c r="D152" s="25" t="str">
        <x:v>Verbal Warning</x:v>
      </x:c>
      <x:c r="E152" s="27" t="str"/>
      <x:c r="F152" s="25" t="str">
        <x:f>IF(E152="","Missing",IF(TRIM(E152)=TRIM(D152),"Review: same as English","Translated"))</x:f>
        <x:v>Missing</x:v>
      </x:c>
      <x:c r="G152" s="27" t="str"/>
      <x:c r="H152" s="25" t="str">
        <x:f>IF(G152="","Missing",IF(TRIM(G152)=TRIM(D152),"Review: same as English","Translated"))</x:f>
        <x:v>Missing</x:v>
      </x:c>
      <x:c r="I152" s="27" t="str"/>
    </x:row>
    <x:row r="153" ht="20" customHeight="1">
      <x:c r="A153" s="25" t="n">
        <x:v>4</x:v>
      </x:c>
      <x:c r="B153" s="25" t="str">
        <x:v>content.subsections[2].table.rows[2][0]</x:v>
      </x:c>
      <x:c r="C153" s="25" t="str">
        <x:v>Module 4 subsection 3 table row 3, column 1</x:v>
      </x:c>
      <x:c r="D153" s="25" t="str">
        <x:v>Five (5) Instances Within One Month</x:v>
      </x:c>
      <x:c r="E153" s="27" t="str"/>
      <x:c r="F153" s="25" t="str">
        <x:f>IF(E153="","Missing",IF(TRIM(E153)=TRIM(D153),"Review: same as English","Translated"))</x:f>
        <x:v>Missing</x:v>
      </x:c>
      <x:c r="G153" s="27" t="str"/>
      <x:c r="H153" s="25" t="str">
        <x:f>IF(G153="","Missing",IF(TRIM(G153)=TRIM(D153),"Review: same as English","Translated"))</x:f>
        <x:v>Missing</x:v>
      </x:c>
      <x:c r="I153" s="27" t="str"/>
    </x:row>
    <x:row r="154" ht="20" customHeight="1">
      <x:c r="A154" s="25" t="n">
        <x:v>4</x:v>
      </x:c>
      <x:c r="B154" s="25" t="str">
        <x:v>content.subsections[2].table.rows[2][1]</x:v>
      </x:c>
      <x:c r="C154" s="25" t="str">
        <x:v>Module 4 subsection 3 table row 3, column 2</x:v>
      </x:c>
      <x:c r="D154" s="25" t="str">
        <x:v>First Written Warning</x:v>
      </x:c>
      <x:c r="E154" s="27" t="str"/>
      <x:c r="F154" s="25" t="str">
        <x:f>IF(E154="","Missing",IF(TRIM(E154)=TRIM(D154),"Review: same as English","Translated"))</x:f>
        <x:v>Missing</x:v>
      </x:c>
      <x:c r="G154" s="27" t="str"/>
      <x:c r="H154" s="25" t="str">
        <x:f>IF(G154="","Missing",IF(TRIM(G154)=TRIM(D154),"Review: same as English","Translated"))</x:f>
        <x:v>Missing</x:v>
      </x:c>
      <x:c r="I154" s="27" t="str"/>
    </x:row>
    <x:row r="155" ht="20" customHeight="1">
      <x:c r="A155" s="25" t="n">
        <x:v>4</x:v>
      </x:c>
      <x:c r="B155" s="25" t="str">
        <x:v>content.subsections[2].table.rows[3][0]</x:v>
      </x:c>
      <x:c r="C155" s="25" t="str">
        <x:v>Module 4 subsection 3 table row 4, column 1</x:v>
      </x:c>
      <x:c r="D155" s="25" t="str">
        <x:v>Seven (7) Instances Within Three Months</x:v>
      </x:c>
      <x:c r="E155" s="27" t="str"/>
      <x:c r="F155" s="25" t="str">
        <x:f>IF(E155="","Missing",IF(TRIM(E155)=TRIM(D155),"Review: same as English","Translated"))</x:f>
        <x:v>Missing</x:v>
      </x:c>
      <x:c r="G155" s="27" t="str"/>
      <x:c r="H155" s="25" t="str">
        <x:f>IF(G155="","Missing",IF(TRIM(G155)=TRIM(D155),"Review: same as English","Translated"))</x:f>
        <x:v>Missing</x:v>
      </x:c>
      <x:c r="I155" s="27" t="str"/>
    </x:row>
    <x:row r="156" ht="20" customHeight="1">
      <x:c r="A156" s="25" t="n">
        <x:v>4</x:v>
      </x:c>
      <x:c r="B156" s="25" t="str">
        <x:v>content.subsections[2].table.rows[3][1]</x:v>
      </x:c>
      <x:c r="C156" s="25" t="str">
        <x:v>Module 4 subsection 3 table row 4, column 2</x:v>
      </x:c>
      <x:c r="D156" s="25" t="str">
        <x:v>Final Written Warning</x:v>
      </x:c>
      <x:c r="E156" s="27" t="str"/>
      <x:c r="F156" s="25" t="str">
        <x:f>IF(E156="","Missing",IF(TRIM(E156)=TRIM(D156),"Review: same as English","Translated"))</x:f>
        <x:v>Missing</x:v>
      </x:c>
      <x:c r="G156" s="27" t="str"/>
      <x:c r="H156" s="25" t="str">
        <x:f>IF(G156="","Missing",IF(TRIM(G156)=TRIM(D156),"Review: same as English","Translated"))</x:f>
        <x:v>Missing</x:v>
      </x:c>
      <x:c r="I156" s="27" t="str"/>
    </x:row>
    <x:row r="157" ht="20" customHeight="1">
      <x:c r="A157" s="25" t="n">
        <x:v>4</x:v>
      </x:c>
      <x:c r="B157" s="25" t="str">
        <x:v>content.subsections[2].table.rows[4][0]</x:v>
      </x:c>
      <x:c r="C157" s="25" t="str">
        <x:v>Module 4 subsection 3 table row 5, column 1</x:v>
      </x:c>
      <x:c r="D157" s="25" t="str">
        <x:v>Continued Offences</x:v>
      </x:c>
      <x:c r="E157" s="27" t="str"/>
      <x:c r="F157" s="25" t="str">
        <x:f>IF(E157="","Missing",IF(TRIM(E157)=TRIM(D157),"Review: same as English","Translated"))</x:f>
        <x:v>Missing</x:v>
      </x:c>
      <x:c r="G157" s="27" t="str"/>
      <x:c r="H157" s="25" t="str">
        <x:f>IF(G157="","Missing",IF(TRIM(G157)=TRIM(D157),"Review: same as English","Translated"))</x:f>
        <x:v>Missing</x:v>
      </x:c>
      <x:c r="I157" s="27" t="str"/>
    </x:row>
    <x:row r="158" ht="20" customHeight="1">
      <x:c r="A158" s="25" t="n">
        <x:v>4</x:v>
      </x:c>
      <x:c r="B158" s="25" t="str">
        <x:v>content.subsections[2].table.rows[4][1]</x:v>
      </x:c>
      <x:c r="C158" s="25" t="str">
        <x:v>Module 4 subsection 3 table row 5, column 2</x:v>
      </x:c>
      <x:c r="D158" s="25" t="str">
        <x:v>Disciplinary action up to and including termination</x:v>
      </x:c>
      <x:c r="E158" s="27" t="str"/>
      <x:c r="F158" s="25" t="str">
        <x:f>IF(E158="","Missing",IF(TRIM(E158)=TRIM(D158),"Review: same as English","Translated"))</x:f>
        <x:v>Missing</x:v>
      </x:c>
      <x:c r="G158" s="27" t="str"/>
      <x:c r="H158" s="25" t="str">
        <x:f>IF(G158="","Missing",IF(TRIM(G158)=TRIM(D158),"Review: same as English","Translated"))</x:f>
        <x:v>Missing</x:v>
      </x:c>
      <x:c r="I158" s="27" t="str"/>
    </x:row>
    <x:row r="159" ht="20" customHeight="1">
      <x:c r="A159" s="25" t="n">
        <x:v>4</x:v>
      </x:c>
      <x:c r="B159" s="25" t="str">
        <x:v>content.subsections[3].title</x:v>
      </x:c>
      <x:c r="C159" s="25" t="str">
        <x:v>Module 4 subsection 4 title</x:v>
      </x:c>
      <x:c r="D159" s="25" t="str">
        <x:v>4. OVERTIME &amp; REPLACEMENT LEAVE POLICY</x:v>
      </x:c>
      <x:c r="E159" s="27" t="str"/>
      <x:c r="F159" s="25" t="str">
        <x:f>IF(E159="","Missing",IF(TRIM(E159)=TRIM(D159),"Review: same as English","Translated"))</x:f>
        <x:v>Missing</x:v>
      </x:c>
      <x:c r="G159" s="27" t="str"/>
      <x:c r="H159" s="25" t="str">
        <x:f>IF(G159="","Missing",IF(TRIM(G159)=TRIM(D159),"Review: same as English","Translated"))</x:f>
        <x:v>Missing</x:v>
      </x:c>
      <x:c r="I159" s="27" t="str"/>
    </x:row>
    <x:row r="160" ht="20" customHeight="1">
      <x:c r="A160" s="25" t="n">
        <x:v>4</x:v>
      </x:c>
      <x:c r="B160" s="25" t="str">
        <x:v>content.subsections[3].paragraphs[0]</x:v>
      </x:c>
      <x:c r="C160" s="25" t="str">
        <x:v>Module 4 subsection 4 paragraph 1</x:v>
      </x:c>
      <x:c r="D160" s="25" t="str">
        <x:v>Overtime must be pre-approved by the Reporting Manager.</x:v>
      </x:c>
      <x:c r="E160" s="27" t="str"/>
      <x:c r="F160" s="25" t="str">
        <x:f>IF(E160="","Missing",IF(TRIM(E160)=TRIM(D160),"Review: same as English","Translated"))</x:f>
        <x:v>Missing</x:v>
      </x:c>
      <x:c r="G160" s="27" t="str"/>
      <x:c r="H160" s="25" t="str">
        <x:f>IF(G160="","Missing",IF(TRIM(G160)=TRIM(D160),"Review: same as English","Translated"))</x:f>
        <x:v>Missing</x:v>
      </x:c>
      <x:c r="I160" s="27" t="str"/>
    </x:row>
    <x:row r="161" ht="48" customHeight="1">
      <x:c r="A161" s="25" t="n">
        <x:v>4</x:v>
      </x:c>
      <x:c r="B161" s="25" t="str">
        <x:v>content.subsections[3].paragraphs[1]</x:v>
      </x:c>
      <x:c r="C161" s="25" t="str">
        <x:v>Module 4 subsection 4 paragraph 2</x:v>
      </x:c>
      <x:c r="D161" s="25" t="str">
        <x:v>Replacement Leave may be granted for working on Rest Days, Public Holidays, Company Events, Exhibitions, or Emergency Assignments. Replacement Leave must be utilised within one (1) month from the date earned.</x:v>
      </x:c>
      <x:c r="E161" s="27" t="str"/>
      <x:c r="F161" s="25" t="str">
        <x:f>IF(E161="","Missing",IF(TRIM(E161)=TRIM(D161),"Review: same as English","Translated"))</x:f>
        <x:v>Missing</x:v>
      </x:c>
      <x:c r="G161" s="27" t="str"/>
      <x:c r="H161" s="25" t="str">
        <x:f>IF(G161="","Missing",IF(TRIM(G161)=TRIM(D161),"Review: same as English","Translated"))</x:f>
        <x:v>Missing</x:v>
      </x:c>
      <x:c r="I161" s="27" t="str"/>
    </x:row>
    <x:row r="162" ht="20" customHeight="1">
      <x:c r="A162" s="25" t="n">
        <x:v>4</x:v>
      </x:c>
      <x:c r="B162" s="25" t="str">
        <x:v>content.subsections[4].title</x:v>
      </x:c>
      <x:c r="C162" s="25" t="str">
        <x:v>Module 4 subsection 5 title</x:v>
      </x:c>
      <x:c r="D162" s="25" t="str">
        <x:v>5. REST DAYS, PUBLIC HOLIDAYS &amp; BUSINESS TRAVEL</x:v>
      </x:c>
      <x:c r="E162" s="27" t="str"/>
      <x:c r="F162" s="25" t="str">
        <x:f>IF(E162="","Missing",IF(TRIM(E162)=TRIM(D162),"Review: same as English","Translated"))</x:f>
        <x:v>Missing</x:v>
      </x:c>
      <x:c r="G162" s="27" t="str"/>
      <x:c r="H162" s="25" t="str">
        <x:f>IF(G162="","Missing",IF(TRIM(G162)=TRIM(D162),"Review: same as English","Translated"))</x:f>
        <x:v>Missing</x:v>
      </x:c>
      <x:c r="I162" s="27" t="str"/>
    </x:row>
    <x:row r="163" ht="34" customHeight="1">
      <x:c r="A163" s="25" t="n">
        <x:v>4</x:v>
      </x:c>
      <x:c r="B163" s="25" t="str">
        <x:v>content.subsections[4].paragraphs[0]</x:v>
      </x:c>
      <x:c r="C163" s="25" t="str">
        <x:v>Module 4 subsection 5 paragraph 1</x:v>
      </x:c>
      <x:c r="D163" s="25" t="str">
        <x:v>Employees are entitled to at least one (1) whole rest day per week and gazetted public holidays in accordance with Malaysian employment law.</x:v>
      </x:c>
      <x:c r="E163" s="27" t="str"/>
      <x:c r="F163" s="25" t="str">
        <x:f>IF(E163="","Missing",IF(TRIM(E163)=TRIM(D163),"Review: same as English","Translated"))</x:f>
        <x:v>Missing</x:v>
      </x:c>
      <x:c r="G163" s="27" t="str"/>
      <x:c r="H163" s="25" t="str">
        <x:f>IF(G163="","Missing",IF(TRIM(G163)=TRIM(D163),"Review: same as English","Translated"))</x:f>
        <x:v>Missing</x:v>
      </x:c>
      <x:c r="I163" s="27" t="str"/>
    </x:row>
    <x:row r="164" ht="48" customHeight="1">
      <x:c r="A164" s="25" t="n">
        <x:v>4</x:v>
      </x:c>
      <x:c r="B164" s="25" t="str">
        <x:v>content.subsections[4].paragraphs[1]</x:v>
      </x:c>
      <x:c r="C164" s="25" t="str">
        <x:v>Module 4 subsection 5 paragraph 2</x:v>
      </x:c>
      <x:c r="D164" s="25" t="str">
        <x:v>Business travel outside normal working hours does not automatically constitute overtime, but compensation or replacement leave may be arranged for substantial duties.</x:v>
      </x:c>
      <x:c r="E164" s="27" t="str"/>
      <x:c r="F164" s="25" t="str">
        <x:f>IF(E164="","Missing",IF(TRIM(E164)=TRIM(D164),"Review: same as English","Translated"))</x:f>
        <x:v>Missing</x:v>
      </x:c>
      <x:c r="G164" s="27" t="str"/>
      <x:c r="H164" s="25" t="str">
        <x:f>IF(G164="","Missing",IF(TRIM(G164)=TRIM(D164),"Review: same as English","Translated"))</x:f>
        <x:v>Missing</x:v>
      </x:c>
      <x:c r="I164" s="27" t="str"/>
    </x:row>
    <x:row r="165" ht="48" customHeight="1">
      <x:c r="A165" s="25" t="n">
        <x:v>4</x:v>
      </x:c>
      <x:c r="B165" s="25" t="str">
        <x:v>content.keyTakeaway</x:v>
      </x:c>
      <x:c r="C165" s="25" t="str">
        <x:v>Module 4 key takeaway</x:v>
      </x:c>
      <x:c r="D165" s="25" t="str">
        <x:v>Habitual lateness, absenteeism, and poor attendance may adversely affect career progression, confirmation, salary increments, and employment.</x:v>
      </x:c>
      <x:c r="E165" s="27" t="str">
        <x:v>Hantar semua resit pembayaran semula bulanan sebelum 25 hb setiap bulan.</x:v>
      </x:c>
      <x:c r="F165" s="25" t="str">
        <x:f>IF(E165="","Missing",IF(TRIM(E165)=TRIM(D165),"Review: same as English","Translated"))</x:f>
        <x:v>Translated</x:v>
      </x:c>
      <x:c r="G165" s="27" t="str">
        <x:v>请在每月 25 日前提交当月的所有报销凭证。</x:v>
      </x:c>
      <x:c r="H165" s="25" t="str">
        <x:f>IF(G165="","Missing",IF(TRIM(G165)=TRIM(D165),"Review: same as English","Translated"))</x:f>
        <x:v>Translated</x:v>
      </x:c>
      <x:c r="I165" s="27" t="str"/>
    </x:row>
    <x:row r="166" ht="20" customHeight="1">
      <x:c r="A166" s="25" t="n">
        <x:v>5</x:v>
      </x:c>
      <x:c r="B166" s="25" t="str">
        <x:v>title</x:v>
      </x:c>
      <x:c r="C166" s="25" t="str">
        <x:v>Module 5 title</x:v>
      </x:c>
      <x:c r="D166" s="25" t="str">
        <x:v>Part 5 – Leave Administration</x:v>
      </x:c>
      <x:c r="E166" s="27" t="str"/>
      <x:c r="F166" s="25" t="str">
        <x:f>IF(E166="","Missing",IF(TRIM(E166)=TRIM(D166),"Review: same as English","Translated"))</x:f>
        <x:v>Missing</x:v>
      </x:c>
      <x:c r="G166" s="27" t="str"/>
      <x:c r="H166" s="25" t="str">
        <x:f>IF(G166="","Missing",IF(TRIM(G166)=TRIM(D166),"Review: same as English","Translated"))</x:f>
        <x:v>Missing</x:v>
      </x:c>
      <x:c r="I166" s="27" t="str">
        <x:v>No Malay or Chinese module currently exists in the application.</x:v>
      </x:c>
    </x:row>
    <x:row r="167" ht="34" customHeight="1">
      <x:c r="A167" s="25" t="n">
        <x:v>5</x:v>
      </x:c>
      <x:c r="B167" s="25" t="str">
        <x:v>subtitle</x:v>
      </x:c>
      <x:c r="C167" s="25" t="str">
        <x:v>Module 5 subtitle</x:v>
      </x:c>
      <x:c r="D167" s="25" t="str">
        <x:v>Annual leave, sick leave, hospitalisation, maternity, paternity, marriage, compassionate, unpaid &amp; application procedure</x:v>
      </x:c>
      <x:c r="E167" s="27" t="str"/>
      <x:c r="F167" s="25" t="str">
        <x:f>IF(E167="","Missing",IF(TRIM(E167)=TRIM(D167),"Review: same as English","Translated"))</x:f>
        <x:v>Missing</x:v>
      </x:c>
      <x:c r="G167" s="27" t="str"/>
      <x:c r="H167" s="25" t="str">
        <x:f>IF(G167="","Missing",IF(TRIM(G167)=TRIM(D167),"Review: same as English","Translated"))</x:f>
        <x:v>Missing</x:v>
      </x:c>
      <x:c r="I167" s="27" t="str">
        <x:v>No Malay or Chinese module currently exists in the application.</x:v>
      </x:c>
    </x:row>
    <x:row r="168" ht="20" customHeight="1">
      <x:c r="A168" s="25" t="n">
        <x:v>5</x:v>
      </x:c>
      <x:c r="B168" s="25" t="str">
        <x:v>content.sectionTitle</x:v>
      </x:c>
      <x:c r="C168" s="25" t="str">
        <x:v>Module 5 section heading</x:v>
      </x:c>
      <x:c r="D168" s="25" t="str">
        <x:v>PART 5 – LEAVE ADMINISTRATION</x:v>
      </x:c>
      <x:c r="E168" s="27" t="str"/>
      <x:c r="F168" s="25" t="str">
        <x:f>IF(E168="","Missing",IF(TRIM(E168)=TRIM(D168),"Review: same as English","Translated"))</x:f>
        <x:v>Missing</x:v>
      </x:c>
      <x:c r="G168" s="27" t="str"/>
      <x:c r="H168" s="25" t="str">
        <x:f>IF(G168="","Missing",IF(TRIM(G168)=TRIM(D168),"Review: same as English","Translated"))</x:f>
        <x:v>Missing</x:v>
      </x:c>
      <x:c r="I168" s="27" t="str">
        <x:v>No Malay or Chinese module currently exists in the application.</x:v>
      </x:c>
    </x:row>
    <x:row r="169" ht="48" customHeight="1">
      <x:c r="A169" s="25" t="n">
        <x:v>5</x:v>
      </x:c>
      <x:c r="B169" s="25" t="str">
        <x:v>content.bodyParagraphs[0]</x:v>
      </x:c>
      <x:c r="C169" s="25" t="str">
        <x:v>Module 5 opening paragraph 1</x:v>
      </x:c>
      <x:c r="D169" s="25" t="str">
        <x:v>The Company recognises the importance of work-life balance and employee wellbeing. Employees are encouraged to plan and utilise leave responsibly while ensuring minimal disruption to business operations.</x:v>
      </x:c>
      <x:c r="E169" s="27" t="str"/>
      <x:c r="F169" s="25" t="str">
        <x:f>IF(E169="","Missing",IF(TRIM(E169)=TRIM(D169),"Review: same as English","Translated"))</x:f>
        <x:v>Missing</x:v>
      </x:c>
      <x:c r="G169" s="27" t="str"/>
      <x:c r="H169" s="25" t="str">
        <x:f>IF(G169="","Missing",IF(TRIM(G169)=TRIM(D169),"Review: same as English","Translated"))</x:f>
        <x:v>Missing</x:v>
      </x:c>
      <x:c r="I169" s="27" t="str">
        <x:v>No Malay or Chinese module currently exists in the application.</x:v>
      </x:c>
    </x:row>
    <x:row r="170" ht="34" customHeight="1">
      <x:c r="A170" s="25" t="n">
        <x:v>5</x:v>
      </x:c>
      <x:c r="B170" s="25" t="str">
        <x:v>content.bodyParagraphs[1]</x:v>
      </x:c>
      <x:c r="C170" s="25" t="str">
        <x:v>Module 5 opening paragraph 2</x:v>
      </x:c>
      <x:c r="D170" s="25" t="str">
        <x:v>All leave entitlements are subject to the Employment Act 1955, applicable laws, Employment Contract, and Company policies.</x:v>
      </x:c>
      <x:c r="E170" s="27" t="str"/>
      <x:c r="F170" s="25" t="str">
        <x:f>IF(E170="","Missing",IF(TRIM(E170)=TRIM(D170),"Review: same as English","Translated"))</x:f>
        <x:v>Missing</x:v>
      </x:c>
      <x:c r="G170" s="27" t="str"/>
      <x:c r="H170" s="25" t="str">
        <x:f>IF(G170="","Missing",IF(TRIM(G170)=TRIM(D170),"Review: same as English","Translated"))</x:f>
        <x:v>Missing</x:v>
      </x:c>
      <x:c r="I170" s="27" t="str">
        <x:v>No Malay or Chinese module currently exists in the application.</x:v>
      </x:c>
    </x:row>
    <x:row r="171" ht="20" customHeight="1">
      <x:c r="A171" s="25" t="n">
        <x:v>5</x:v>
      </x:c>
      <x:c r="B171" s="25" t="str">
        <x:v>content.subsections[0].title</x:v>
      </x:c>
      <x:c r="C171" s="25" t="str">
        <x:v>Module 5 subsection 1 title</x:v>
      </x:c>
      <x:c r="D171" s="25" t="str">
        <x:v>1. ANNUAL LEAVE POLICY</x:v>
      </x:c>
      <x:c r="E171" s="27" t="str"/>
      <x:c r="F171" s="25" t="str">
        <x:f>IF(E171="","Missing",IF(TRIM(E171)=TRIM(D171),"Review: same as English","Translated"))</x:f>
        <x:v>Missing</x:v>
      </x:c>
      <x:c r="G171" s="27" t="str"/>
      <x:c r="H171" s="25" t="str">
        <x:f>IF(G171="","Missing",IF(TRIM(G171)=TRIM(D171),"Review: same as English","Translated"))</x:f>
        <x:v>Missing</x:v>
      </x:c>
      <x:c r="I171" s="27" t="str">
        <x:v>No Malay or Chinese module currently exists in the application.</x:v>
      </x:c>
    </x:row>
    <x:row r="172" ht="20" customHeight="1">
      <x:c r="A172" s="25" t="n">
        <x:v>5</x:v>
      </x:c>
      <x:c r="B172" s="25" t="str">
        <x:v>content.subsections[0].paragraphs[0]</x:v>
      </x:c>
      <x:c r="C172" s="25" t="str">
        <x:v>Module 5 subsection 1 paragraph 1</x:v>
      </x:c>
      <x:c r="D172" s="25" t="str">
        <x:v>Annual Leave entitlement schedule by years of service:</x:v>
      </x:c>
      <x:c r="E172" s="27" t="str"/>
      <x:c r="F172" s="25" t="str">
        <x:f>IF(E172="","Missing",IF(TRIM(E172)=TRIM(D172),"Review: same as English","Translated"))</x:f>
        <x:v>Missing</x:v>
      </x:c>
      <x:c r="G172" s="27" t="str"/>
      <x:c r="H172" s="25" t="str">
        <x:f>IF(G172="","Missing",IF(TRIM(G172)=TRIM(D172),"Review: same as English","Translated"))</x:f>
        <x:v>Missing</x:v>
      </x:c>
      <x:c r="I172" s="27" t="str">
        <x:v>No Malay or Chinese module currently exists in the application.</x:v>
      </x:c>
    </x:row>
    <x:row r="173" ht="20" customHeight="1">
      <x:c r="A173" s="25" t="n">
        <x:v>5</x:v>
      </x:c>
      <x:c r="B173" s="25" t="str">
        <x:v>content.subsections[0].table.headers[0]</x:v>
      </x:c>
      <x:c r="C173" s="25" t="str">
        <x:v>Module 5 subsection 1 table header 1</x:v>
      </x:c>
      <x:c r="D173" s="25" t="str">
        <x:v>Years of Service</x:v>
      </x:c>
      <x:c r="E173" s="27" t="str"/>
      <x:c r="F173" s="25" t="str">
        <x:f>IF(E173="","Missing",IF(TRIM(E173)=TRIM(D173),"Review: same as English","Translated"))</x:f>
        <x:v>Missing</x:v>
      </x:c>
      <x:c r="G173" s="27" t="str"/>
      <x:c r="H173" s="25" t="str">
        <x:f>IF(G173="","Missing",IF(TRIM(G173)=TRIM(D173),"Review: same as English","Translated"))</x:f>
        <x:v>Missing</x:v>
      </x:c>
      <x:c r="I173" s="27" t="str">
        <x:v>No Malay or Chinese module currently exists in the application.</x:v>
      </x:c>
    </x:row>
    <x:row r="174" ht="20" customHeight="1">
      <x:c r="A174" s="25" t="n">
        <x:v>5</x:v>
      </x:c>
      <x:c r="B174" s="25" t="str">
        <x:v>content.subsections[0].table.headers[1]</x:v>
      </x:c>
      <x:c r="C174" s="25" t="str">
        <x:v>Module 5 subsection 1 table header 2</x:v>
      </x:c>
      <x:c r="D174" s="25" t="str">
        <x:v>Annual Leave Entitlement</x:v>
      </x:c>
      <x:c r="E174" s="27" t="str"/>
      <x:c r="F174" s="25" t="str">
        <x:f>IF(E174="","Missing",IF(TRIM(E174)=TRIM(D174),"Review: same as English","Translated"))</x:f>
        <x:v>Missing</x:v>
      </x:c>
      <x:c r="G174" s="27" t="str"/>
      <x:c r="H174" s="25" t="str">
        <x:f>IF(G174="","Missing",IF(TRIM(G174)=TRIM(D174),"Review: same as English","Translated"))</x:f>
        <x:v>Missing</x:v>
      </x:c>
      <x:c r="I174" s="27" t="str">
        <x:v>No Malay or Chinese module currently exists in the application.</x:v>
      </x:c>
    </x:row>
    <x:row r="175" ht="20" customHeight="1">
      <x:c r="A175" s="25" t="n">
        <x:v>5</x:v>
      </x:c>
      <x:c r="B175" s="25" t="str">
        <x:v>content.subsections[0].table.rows[0][0]</x:v>
      </x:c>
      <x:c r="C175" s="25" t="str">
        <x:v>Module 5 subsection 1 table row 1, column 1</x:v>
      </x:c>
      <x:c r="D175" s="25" t="str">
        <x:v>Less than 2 years</x:v>
      </x:c>
      <x:c r="E175" s="27" t="str"/>
      <x:c r="F175" s="25" t="str">
        <x:f>IF(E175="","Missing",IF(TRIM(E175)=TRIM(D175),"Review: same as English","Translated"))</x:f>
        <x:v>Missing</x:v>
      </x:c>
      <x:c r="G175" s="27" t="str"/>
      <x:c r="H175" s="25" t="str">
        <x:f>IF(G175="","Missing",IF(TRIM(G175)=TRIM(D175),"Review: same as English","Translated"))</x:f>
        <x:v>Missing</x:v>
      </x:c>
      <x:c r="I175" s="27" t="str">
        <x:v>No Malay or Chinese module currently exists in the application.</x:v>
      </x:c>
    </x:row>
    <x:row r="176" ht="20" customHeight="1">
      <x:c r="A176" s="25" t="n">
        <x:v>5</x:v>
      </x:c>
      <x:c r="B176" s="25" t="str">
        <x:v>content.subsections[0].table.rows[0][1]</x:v>
      </x:c>
      <x:c r="C176" s="25" t="str">
        <x:v>Module 5 subsection 1 table row 1, column 2</x:v>
      </x:c>
      <x:c r="D176" s="25" t="str">
        <x:v>8 days</x:v>
      </x:c>
      <x:c r="E176" s="27" t="str"/>
      <x:c r="F176" s="25" t="str">
        <x:f>IF(E176="","Missing",IF(TRIM(E176)=TRIM(D176),"Review: same as English","Translated"))</x:f>
        <x:v>Missing</x:v>
      </x:c>
      <x:c r="G176" s="27" t="str"/>
      <x:c r="H176" s="25" t="str">
        <x:f>IF(G176="","Missing",IF(TRIM(G176)=TRIM(D176),"Review: same as English","Translated"))</x:f>
        <x:v>Missing</x:v>
      </x:c>
      <x:c r="I176" s="27" t="str">
        <x:v>No Malay or Chinese module currently exists in the application.</x:v>
      </x:c>
    </x:row>
    <x:row r="177" ht="20" customHeight="1">
      <x:c r="A177" s="25" t="n">
        <x:v>5</x:v>
      </x:c>
      <x:c r="B177" s="25" t="str">
        <x:v>content.subsections[0].table.rows[1][0]</x:v>
      </x:c>
      <x:c r="C177" s="25" t="str">
        <x:v>Module 5 subsection 1 table row 2, column 1</x:v>
      </x:c>
      <x:c r="D177" s="25" t="str">
        <x:v>2 years to less than 5 years</x:v>
      </x:c>
      <x:c r="E177" s="27" t="str"/>
      <x:c r="F177" s="25" t="str">
        <x:f>IF(E177="","Missing",IF(TRIM(E177)=TRIM(D177),"Review: same as English","Translated"))</x:f>
        <x:v>Missing</x:v>
      </x:c>
      <x:c r="G177" s="27" t="str"/>
      <x:c r="H177" s="25" t="str">
        <x:f>IF(G177="","Missing",IF(TRIM(G177)=TRIM(D177),"Review: same as English","Translated"))</x:f>
        <x:v>Missing</x:v>
      </x:c>
      <x:c r="I177" s="27" t="str">
        <x:v>No Malay or Chinese module currently exists in the application.</x:v>
      </x:c>
    </x:row>
    <x:row r="178" ht="20" customHeight="1">
      <x:c r="A178" s="25" t="n">
        <x:v>5</x:v>
      </x:c>
      <x:c r="B178" s="25" t="str">
        <x:v>content.subsections[0].table.rows[1][1]</x:v>
      </x:c>
      <x:c r="C178" s="25" t="str">
        <x:v>Module 5 subsection 1 table row 2, column 2</x:v>
      </x:c>
      <x:c r="D178" s="25" t="str">
        <x:v>12 days</x:v>
      </x:c>
      <x:c r="E178" s="27" t="str"/>
      <x:c r="F178" s="25" t="str">
        <x:f>IF(E178="","Missing",IF(TRIM(E178)=TRIM(D178),"Review: same as English","Translated"))</x:f>
        <x:v>Missing</x:v>
      </x:c>
      <x:c r="G178" s="27" t="str"/>
      <x:c r="H178" s="25" t="str">
        <x:f>IF(G178="","Missing",IF(TRIM(G178)=TRIM(D178),"Review: same as English","Translated"))</x:f>
        <x:v>Missing</x:v>
      </x:c>
      <x:c r="I178" s="27" t="str">
        <x:v>No Malay or Chinese module currently exists in the application.</x:v>
      </x:c>
    </x:row>
    <x:row r="179" ht="20" customHeight="1">
      <x:c r="A179" s="25" t="n">
        <x:v>5</x:v>
      </x:c>
      <x:c r="B179" s="25" t="str">
        <x:v>content.subsections[0].table.rows[2][0]</x:v>
      </x:c>
      <x:c r="C179" s="25" t="str">
        <x:v>Module 5 subsection 1 table row 3, column 1</x:v>
      </x:c>
      <x:c r="D179" s="25" t="str">
        <x:v>5 years and above</x:v>
      </x:c>
      <x:c r="E179" s="27" t="str"/>
      <x:c r="F179" s="25" t="str">
        <x:f>IF(E179="","Missing",IF(TRIM(E179)=TRIM(D179),"Review: same as English","Translated"))</x:f>
        <x:v>Missing</x:v>
      </x:c>
      <x:c r="G179" s="27" t="str"/>
      <x:c r="H179" s="25" t="str">
        <x:f>IF(G179="","Missing",IF(TRIM(G179)=TRIM(D179),"Review: same as English","Translated"))</x:f>
        <x:v>Missing</x:v>
      </x:c>
      <x:c r="I179" s="27" t="str">
        <x:v>No Malay or Chinese module currently exists in the application.</x:v>
      </x:c>
    </x:row>
    <x:row r="180" ht="20" customHeight="1">
      <x:c r="A180" s="25" t="n">
        <x:v>5</x:v>
      </x:c>
      <x:c r="B180" s="25" t="str">
        <x:v>content.subsections[0].table.rows[2][1]</x:v>
      </x:c>
      <x:c r="C180" s="25" t="str">
        <x:v>Module 5 subsection 1 table row 3, column 2</x:v>
      </x:c>
      <x:c r="D180" s="25" t="str">
        <x:v>16 days</x:v>
      </x:c>
      <x:c r="E180" s="27" t="str"/>
      <x:c r="F180" s="25" t="str">
        <x:f>IF(E180="","Missing",IF(TRIM(E180)=TRIM(D180),"Review: same as English","Translated"))</x:f>
        <x:v>Missing</x:v>
      </x:c>
      <x:c r="G180" s="27" t="str"/>
      <x:c r="H180" s="25" t="str">
        <x:f>IF(G180="","Missing",IF(TRIM(G180)=TRIM(D180),"Review: same as English","Translated"))</x:f>
        <x:v>Missing</x:v>
      </x:c>
      <x:c r="I180" s="27" t="str">
        <x:v>No Malay or Chinese module currently exists in the application.</x:v>
      </x:c>
    </x:row>
    <x:row r="181" ht="20" customHeight="1">
      <x:c r="A181" s="25" t="n">
        <x:v>5</x:v>
      </x:c>
      <x:c r="B181" s="25" t="str">
        <x:v>content.subsections[1].title</x:v>
      </x:c>
      <x:c r="C181" s="25" t="str">
        <x:v>Module 5 subsection 2 title</x:v>
      </x:c>
      <x:c r="D181" s="25" t="str">
        <x:v>2. SICK LEAVE &amp; HOSPITALISATION LEAVE POLICY</x:v>
      </x:c>
      <x:c r="E181" s="27" t="str"/>
      <x:c r="F181" s="25" t="str">
        <x:f>IF(E181="","Missing",IF(TRIM(E181)=TRIM(D181),"Review: same as English","Translated"))</x:f>
        <x:v>Missing</x:v>
      </x:c>
      <x:c r="G181" s="27" t="str"/>
      <x:c r="H181" s="25" t="str">
        <x:f>IF(G181="","Missing",IF(TRIM(G181)=TRIM(D181),"Review: same as English","Translated"))</x:f>
        <x:v>Missing</x:v>
      </x:c>
      <x:c r="I181" s="27" t="str">
        <x:v>No Malay or Chinese module currently exists in the application.</x:v>
      </x:c>
    </x:row>
    <x:row r="182" ht="20" customHeight="1">
      <x:c r="A182" s="25" t="n">
        <x:v>5</x:v>
      </x:c>
      <x:c r="B182" s="25" t="str">
        <x:v>content.subsections[1].paragraphs[0]</x:v>
      </x:c>
      <x:c r="C182" s="25" t="str">
        <x:v>Module 5 subsection 2 paragraph 1</x:v>
      </x:c>
      <x:c r="D182" s="25" t="str">
        <x:v>Paid Sick Leave entitlement schedule:</x:v>
      </x:c>
      <x:c r="E182" s="27" t="str"/>
      <x:c r="F182" s="25" t="str">
        <x:f>IF(E182="","Missing",IF(TRIM(E182)=TRIM(D182),"Review: same as English","Translated"))</x:f>
        <x:v>Missing</x:v>
      </x:c>
      <x:c r="G182" s="27" t="str"/>
      <x:c r="H182" s="25" t="str">
        <x:f>IF(G182="","Missing",IF(TRIM(G182)=TRIM(D182),"Review: same as English","Translated"))</x:f>
        <x:v>Missing</x:v>
      </x:c>
      <x:c r="I182" s="27" t="str">
        <x:v>No Malay or Chinese module currently exists in the application.</x:v>
      </x:c>
    </x:row>
    <x:row r="183" ht="34" customHeight="1">
      <x:c r="A183" s="25" t="n">
        <x:v>5</x:v>
      </x:c>
      <x:c r="B183" s="25" t="str">
        <x:v>content.subsections[1].bulletPoints[0]</x:v>
      </x:c>
      <x:c r="C183" s="25" t="str">
        <x:v>Module 5 subsection 2 bullet 1</x:v>
      </x:c>
      <x:c r="D183" s="25" t="str">
        <x:v>Hospitalisation Leave: Up to sixty (60) days per calendar year, inclusive of ordinary Sick Leave.</x:v>
      </x:c>
      <x:c r="E183" s="27" t="str"/>
      <x:c r="F183" s="25" t="str">
        <x:f>IF(E183="","Missing",IF(TRIM(E183)=TRIM(D183),"Review: same as English","Translated"))</x:f>
        <x:v>Missing</x:v>
      </x:c>
      <x:c r="G183" s="27" t="str"/>
      <x:c r="H183" s="25" t="str">
        <x:f>IF(G183="","Missing",IF(TRIM(G183)=TRIM(D183),"Review: same as English","Translated"))</x:f>
        <x:v>Missing</x:v>
      </x:c>
      <x:c r="I183" s="27" t="str">
        <x:v>No Malay or Chinese module currently exists in the application.</x:v>
      </x:c>
    </x:row>
    <x:row r="184" ht="48" customHeight="1">
      <x:c r="A184" s="25" t="n">
        <x:v>5</x:v>
      </x:c>
      <x:c r="B184" s="25" t="str">
        <x:v>content.subsections[1].bulletPoints[1]</x:v>
      </x:c>
      <x:c r="C184" s="25" t="str">
        <x:v>Module 5 subsection 2 bullet 2</x:v>
      </x:c>
      <x:c r="D184" s="25" t="str">
        <x:v>Sick Leave Notification: Notify Supervisor at least 1 hour before starting work. Submit Medical Certificate (MC) in HERD system within 48 hours.</x:v>
      </x:c>
      <x:c r="E184" s="27" t="str"/>
      <x:c r="F184" s="25" t="str">
        <x:f>IF(E184="","Missing",IF(TRIM(E184)=TRIM(D184),"Review: same as English","Translated"))</x:f>
        <x:v>Missing</x:v>
      </x:c>
      <x:c r="G184" s="27" t="str"/>
      <x:c r="H184" s="25" t="str">
        <x:f>IF(G184="","Missing",IF(TRIM(G184)=TRIM(D184),"Review: same as English","Translated"))</x:f>
        <x:v>Missing</x:v>
      </x:c>
      <x:c r="I184" s="27" t="str">
        <x:v>No Malay or Chinese module currently exists in the application.</x:v>
      </x:c>
    </x:row>
    <x:row r="185" ht="34" customHeight="1">
      <x:c r="A185" s="25" t="n">
        <x:v>5</x:v>
      </x:c>
      <x:c r="B185" s="25" t="str">
        <x:v>content.subsections[1].bulletPoints[2]</x:v>
      </x:c>
      <x:c r="C185" s="25" t="str">
        <x:v>Module 5 subsection 2 bullet 3</x:v>
      </x:c>
      <x:c r="D185" s="25" t="str">
        <x:v>Absence for 2 or more consecutive working days requires a valid Medical Certificate.</x:v>
      </x:c>
      <x:c r="E185" s="27" t="str"/>
      <x:c r="F185" s="25" t="str">
        <x:f>IF(E185="","Missing",IF(TRIM(E185)=TRIM(D185),"Review: same as English","Translated"))</x:f>
        <x:v>Missing</x:v>
      </x:c>
      <x:c r="G185" s="27" t="str"/>
      <x:c r="H185" s="25" t="str">
        <x:f>IF(G185="","Missing",IF(TRIM(G185)=TRIM(D185),"Review: same as English","Translated"))</x:f>
        <x:v>Missing</x:v>
      </x:c>
      <x:c r="I185" s="27" t="str">
        <x:v>No Malay or Chinese module currently exists in the application.</x:v>
      </x:c>
    </x:row>
    <x:row r="186" ht="20" customHeight="1">
      <x:c r="A186" s="25" t="n">
        <x:v>5</x:v>
      </x:c>
      <x:c r="B186" s="25" t="str">
        <x:v>content.subsections[1].table.headers[0]</x:v>
      </x:c>
      <x:c r="C186" s="25" t="str">
        <x:v>Module 5 subsection 2 table header 1</x:v>
      </x:c>
      <x:c r="D186" s="25" t="str">
        <x:v>Years of Service</x:v>
      </x:c>
      <x:c r="E186" s="27" t="str"/>
      <x:c r="F186" s="25" t="str">
        <x:f>IF(E186="","Missing",IF(TRIM(E186)=TRIM(D186),"Review: same as English","Translated"))</x:f>
        <x:v>Missing</x:v>
      </x:c>
      <x:c r="G186" s="27" t="str"/>
      <x:c r="H186" s="25" t="str">
        <x:f>IF(G186="","Missing",IF(TRIM(G186)=TRIM(D186),"Review: same as English","Translated"))</x:f>
        <x:v>Missing</x:v>
      </x:c>
      <x:c r="I186" s="27" t="str">
        <x:v>No Malay or Chinese module currently exists in the application.</x:v>
      </x:c>
    </x:row>
    <x:row r="187" ht="20" customHeight="1">
      <x:c r="A187" s="25" t="n">
        <x:v>5</x:v>
      </x:c>
      <x:c r="B187" s="25" t="str">
        <x:v>content.subsections[1].table.headers[1]</x:v>
      </x:c>
      <x:c r="C187" s="25" t="str">
        <x:v>Module 5 subsection 2 table header 2</x:v>
      </x:c>
      <x:c r="D187" s="25" t="str">
        <x:v>Sick Leave Entitlement</x:v>
      </x:c>
      <x:c r="E187" s="27" t="str"/>
      <x:c r="F187" s="25" t="str">
        <x:f>IF(E187="","Missing",IF(TRIM(E187)=TRIM(D187),"Review: same as English","Translated"))</x:f>
        <x:v>Missing</x:v>
      </x:c>
      <x:c r="G187" s="27" t="str"/>
      <x:c r="H187" s="25" t="str">
        <x:f>IF(G187="","Missing",IF(TRIM(G187)=TRIM(D187),"Review: same as English","Translated"))</x:f>
        <x:v>Missing</x:v>
      </x:c>
      <x:c r="I187" s="27" t="str">
        <x:v>No Malay or Chinese module currently exists in the application.</x:v>
      </x:c>
    </x:row>
    <x:row r="188" ht="20" customHeight="1">
      <x:c r="A188" s="25" t="n">
        <x:v>5</x:v>
      </x:c>
      <x:c r="B188" s="25" t="str">
        <x:v>content.subsections[1].table.rows[0][0]</x:v>
      </x:c>
      <x:c r="C188" s="25" t="str">
        <x:v>Module 5 subsection 2 table row 1, column 1</x:v>
      </x:c>
      <x:c r="D188" s="25" t="str">
        <x:v>Less than 2 years</x:v>
      </x:c>
      <x:c r="E188" s="27" t="str"/>
      <x:c r="F188" s="25" t="str">
        <x:f>IF(E188="","Missing",IF(TRIM(E188)=TRIM(D188),"Review: same as English","Translated"))</x:f>
        <x:v>Missing</x:v>
      </x:c>
      <x:c r="G188" s="27" t="str"/>
      <x:c r="H188" s="25" t="str">
        <x:f>IF(G188="","Missing",IF(TRIM(G188)=TRIM(D188),"Review: same as English","Translated"))</x:f>
        <x:v>Missing</x:v>
      </x:c>
      <x:c r="I188" s="27" t="str">
        <x:v>No Malay or Chinese module currently exists in the application.</x:v>
      </x:c>
    </x:row>
    <x:row r="189" ht="20" customHeight="1">
      <x:c r="A189" s="25" t="n">
        <x:v>5</x:v>
      </x:c>
      <x:c r="B189" s="25" t="str">
        <x:v>content.subsections[1].table.rows[0][1]</x:v>
      </x:c>
      <x:c r="C189" s="25" t="str">
        <x:v>Module 5 subsection 2 table row 1, column 2</x:v>
      </x:c>
      <x:c r="D189" s="25" t="str">
        <x:v>14 days</x:v>
      </x:c>
      <x:c r="E189" s="27" t="str"/>
      <x:c r="F189" s="25" t="str">
        <x:f>IF(E189="","Missing",IF(TRIM(E189)=TRIM(D189),"Review: same as English","Translated"))</x:f>
        <x:v>Missing</x:v>
      </x:c>
      <x:c r="G189" s="27" t="str"/>
      <x:c r="H189" s="25" t="str">
        <x:f>IF(G189="","Missing",IF(TRIM(G189)=TRIM(D189),"Review: same as English","Translated"))</x:f>
        <x:v>Missing</x:v>
      </x:c>
      <x:c r="I189" s="27" t="str">
        <x:v>No Malay or Chinese module currently exists in the application.</x:v>
      </x:c>
    </x:row>
    <x:row r="190" ht="20" customHeight="1">
      <x:c r="A190" s="25" t="n">
        <x:v>5</x:v>
      </x:c>
      <x:c r="B190" s="25" t="str">
        <x:v>content.subsections[1].table.rows[1][0]</x:v>
      </x:c>
      <x:c r="C190" s="25" t="str">
        <x:v>Module 5 subsection 2 table row 2, column 1</x:v>
      </x:c>
      <x:c r="D190" s="25" t="str">
        <x:v>2 years to less than 5 years</x:v>
      </x:c>
      <x:c r="E190" s="27" t="str"/>
      <x:c r="F190" s="25" t="str">
        <x:f>IF(E190="","Missing",IF(TRIM(E190)=TRIM(D190),"Review: same as English","Translated"))</x:f>
        <x:v>Missing</x:v>
      </x:c>
      <x:c r="G190" s="27" t="str"/>
      <x:c r="H190" s="25" t="str">
        <x:f>IF(G190="","Missing",IF(TRIM(G190)=TRIM(D190),"Review: same as English","Translated"))</x:f>
        <x:v>Missing</x:v>
      </x:c>
      <x:c r="I190" s="27" t="str">
        <x:v>No Malay or Chinese module currently exists in the application.</x:v>
      </x:c>
    </x:row>
    <x:row r="191" ht="20" customHeight="1">
      <x:c r="A191" s="25" t="n">
        <x:v>5</x:v>
      </x:c>
      <x:c r="B191" s="25" t="str">
        <x:v>content.subsections[1].table.rows[1][1]</x:v>
      </x:c>
      <x:c r="C191" s="25" t="str">
        <x:v>Module 5 subsection 2 table row 2, column 2</x:v>
      </x:c>
      <x:c r="D191" s="25" t="str">
        <x:v>18 days</x:v>
      </x:c>
      <x:c r="E191" s="27" t="str"/>
      <x:c r="F191" s="25" t="str">
        <x:f>IF(E191="","Missing",IF(TRIM(E191)=TRIM(D191),"Review: same as English","Translated"))</x:f>
        <x:v>Missing</x:v>
      </x:c>
      <x:c r="G191" s="27" t="str"/>
      <x:c r="H191" s="25" t="str">
        <x:f>IF(G191="","Missing",IF(TRIM(G191)=TRIM(D191),"Review: same as English","Translated"))</x:f>
        <x:v>Missing</x:v>
      </x:c>
      <x:c r="I191" s="27" t="str">
        <x:v>No Malay or Chinese module currently exists in the application.</x:v>
      </x:c>
    </x:row>
    <x:row r="192" ht="20" customHeight="1">
      <x:c r="A192" s="25" t="n">
        <x:v>5</x:v>
      </x:c>
      <x:c r="B192" s="25" t="str">
        <x:v>content.subsections[1].table.rows[2][0]</x:v>
      </x:c>
      <x:c r="C192" s="25" t="str">
        <x:v>Module 5 subsection 2 table row 3, column 1</x:v>
      </x:c>
      <x:c r="D192" s="25" t="str">
        <x:v>5 years and above</x:v>
      </x:c>
      <x:c r="E192" s="27" t="str"/>
      <x:c r="F192" s="25" t="str">
        <x:f>IF(E192="","Missing",IF(TRIM(E192)=TRIM(D192),"Review: same as English","Translated"))</x:f>
        <x:v>Missing</x:v>
      </x:c>
      <x:c r="G192" s="27" t="str"/>
      <x:c r="H192" s="25" t="str">
        <x:f>IF(G192="","Missing",IF(TRIM(G192)=TRIM(D192),"Review: same as English","Translated"))</x:f>
        <x:v>Missing</x:v>
      </x:c>
      <x:c r="I192" s="27" t="str">
        <x:v>No Malay or Chinese module currently exists in the application.</x:v>
      </x:c>
    </x:row>
    <x:row r="193" ht="20" customHeight="1">
      <x:c r="A193" s="25" t="n">
        <x:v>5</x:v>
      </x:c>
      <x:c r="B193" s="25" t="str">
        <x:v>content.subsections[1].table.rows[2][1]</x:v>
      </x:c>
      <x:c r="C193" s="25" t="str">
        <x:v>Module 5 subsection 2 table row 3, column 2</x:v>
      </x:c>
      <x:c r="D193" s="25" t="str">
        <x:v>22 days</x:v>
      </x:c>
      <x:c r="E193" s="27" t="str"/>
      <x:c r="F193" s="25" t="str">
        <x:f>IF(E193="","Missing",IF(TRIM(E193)=TRIM(D193),"Review: same as English","Translated"))</x:f>
        <x:v>Missing</x:v>
      </x:c>
      <x:c r="G193" s="27" t="str"/>
      <x:c r="H193" s="25" t="str">
        <x:f>IF(G193="","Missing",IF(TRIM(G193)=TRIM(D193),"Review: same as English","Translated"))</x:f>
        <x:v>Missing</x:v>
      </x:c>
      <x:c r="I193" s="27" t="str">
        <x:v>No Malay or Chinese module currently exists in the application.</x:v>
      </x:c>
    </x:row>
    <x:row r="194" ht="20" customHeight="1">
      <x:c r="A194" s="25" t="n">
        <x:v>5</x:v>
      </x:c>
      <x:c r="B194" s="25" t="str">
        <x:v>content.subsections[2].title</x:v>
      </x:c>
      <x:c r="C194" s="25" t="str">
        <x:v>Module 5 subsection 3 title</x:v>
      </x:c>
      <x:c r="D194" s="25" t="str">
        <x:v>3. OTHER LEAVE TYPES</x:v>
      </x:c>
      <x:c r="E194" s="27" t="str"/>
      <x:c r="F194" s="25" t="str">
        <x:f>IF(E194="","Missing",IF(TRIM(E194)=TRIM(D194),"Review: same as English","Translated"))</x:f>
        <x:v>Missing</x:v>
      </x:c>
      <x:c r="G194" s="27" t="str"/>
      <x:c r="H194" s="25" t="str">
        <x:f>IF(G194="","Missing",IF(TRIM(G194)=TRIM(D194),"Review: same as English","Translated"))</x:f>
        <x:v>Missing</x:v>
      </x:c>
      <x:c r="I194" s="27" t="str">
        <x:v>No Malay or Chinese module currently exists in the application.</x:v>
      </x:c>
    </x:row>
    <x:row r="195" ht="34" customHeight="1">
      <x:c r="A195" s="25" t="n">
        <x:v>5</x:v>
      </x:c>
      <x:c r="B195" s="25" t="str">
        <x:v>content.subsections[2].paragraphs[0]</x:v>
      </x:c>
      <x:c r="C195" s="25" t="str">
        <x:v>Module 5 subsection 3 paragraph 1</x:v>
      </x:c>
      <x:c r="D195" s="25" t="str">
        <x:v>• Maternity Leave: 98 consecutive days of paid leave for eligible female employees.</x:v>
      </x:c>
      <x:c r="E195" s="27" t="str"/>
      <x:c r="F195" s="25" t="str">
        <x:f>IF(E195="","Missing",IF(TRIM(E195)=TRIM(D195),"Review: same as English","Translated"))</x:f>
        <x:v>Missing</x:v>
      </x:c>
      <x:c r="G195" s="27" t="str"/>
      <x:c r="H195" s="25" t="str">
        <x:f>IF(G195="","Missing",IF(TRIM(G195)=TRIM(D195),"Review: same as English","Translated"))</x:f>
        <x:v>Missing</x:v>
      </x:c>
      <x:c r="I195" s="27" t="str">
        <x:v>No Malay or Chinese module currently exists in the application.</x:v>
      </x:c>
    </x:row>
    <x:row r="196" ht="34" customHeight="1">
      <x:c r="A196" s="25" t="n">
        <x:v>5</x:v>
      </x:c>
      <x:c r="B196" s="25" t="str">
        <x:v>content.subsections[2].paragraphs[1]</x:v>
      </x:c>
      <x:c r="C196" s="25" t="str">
        <x:v>Module 5 subsection 3 paragraph 2</x:v>
      </x:c>
      <x:c r="D196" s="25" t="str">
        <x:v>• Paternity Leave: 7 consecutive days of paid leave for eligible male employees per confinement.</x:v>
      </x:c>
      <x:c r="E196" s="27" t="str"/>
      <x:c r="F196" s="25" t="str">
        <x:f>IF(E196="","Missing",IF(TRIM(E196)=TRIM(D196),"Review: same as English","Translated"))</x:f>
        <x:v>Missing</x:v>
      </x:c>
      <x:c r="G196" s="27" t="str"/>
      <x:c r="H196" s="25" t="str">
        <x:f>IF(G196="","Missing",IF(TRIM(G196)=TRIM(D196),"Review: same as English","Translated"))</x:f>
        <x:v>Missing</x:v>
      </x:c>
      <x:c r="I196" s="27" t="str">
        <x:v>No Malay or Chinese module currently exists in the application.</x:v>
      </x:c>
    </x:row>
    <x:row r="197" ht="34" customHeight="1">
      <x:c r="A197" s="25" t="n">
        <x:v>5</x:v>
      </x:c>
      <x:c r="B197" s="25" t="str">
        <x:v>content.subsections[2].paragraphs[2]</x:v>
      </x:c>
      <x:c r="C197" s="25" t="str">
        <x:v>Module 5 subsection 3 paragraph 3</x:v>
      </x:c>
      <x:c r="D197" s="25" t="str">
        <x:v>• Marriage Leave: 3 days paid leave for an employee's first legal marriage (utilised within 1 month).</x:v>
      </x:c>
      <x:c r="E197" s="27" t="str"/>
      <x:c r="F197" s="25" t="str">
        <x:f>IF(E197="","Missing",IF(TRIM(E197)=TRIM(D197),"Review: same as English","Translated"))</x:f>
        <x:v>Missing</x:v>
      </x:c>
      <x:c r="G197" s="27" t="str"/>
      <x:c r="H197" s="25" t="str">
        <x:f>IF(G197="","Missing",IF(TRIM(G197)=TRIM(D197),"Review: same as English","Translated"))</x:f>
        <x:v>Missing</x:v>
      </x:c>
      <x:c r="I197" s="27" t="str">
        <x:v>No Malay or Chinese module currently exists in the application.</x:v>
      </x:c>
    </x:row>
    <x:row r="198" ht="34" customHeight="1">
      <x:c r="A198" s="25" t="n">
        <x:v>5</x:v>
      </x:c>
      <x:c r="B198" s="25" t="str">
        <x:v>content.subsections[2].paragraphs[3]</x:v>
      </x:c>
      <x:c r="C198" s="25" t="str">
        <x:v>Module 5 subsection 3 paragraph 4</x:v>
      </x:c>
      <x:c r="D198" s="25" t="str">
        <x:v>• Compassionate Leave: Up to 3 days paid leave upon passing of immediate family (spouse, parents, children, parents-in-law, siblings).</x:v>
      </x:c>
      <x:c r="E198" s="27" t="str"/>
      <x:c r="F198" s="25" t="str">
        <x:f>IF(E198="","Missing",IF(TRIM(E198)=TRIM(D198),"Review: same as English","Translated"))</x:f>
        <x:v>Missing</x:v>
      </x:c>
      <x:c r="G198" s="27" t="str"/>
      <x:c r="H198" s="25" t="str">
        <x:f>IF(G198="","Missing",IF(TRIM(G198)=TRIM(D198),"Review: same as English","Translated"))</x:f>
        <x:v>Missing</x:v>
      </x:c>
      <x:c r="I198" s="27" t="str">
        <x:v>No Malay or Chinese module currently exists in the application.</x:v>
      </x:c>
    </x:row>
    <x:row r="199" ht="34" customHeight="1">
      <x:c r="A199" s="25" t="n">
        <x:v>5</x:v>
      </x:c>
      <x:c r="B199" s="25" t="str">
        <x:v>content.subsections[2].paragraphs[4]</x:v>
      </x:c>
      <x:c r="C199" s="25" t="str">
        <x:v>Module 5 subsection 3 paragraph 5</x:v>
      </x:c>
      <x:c r="D199" s="25" t="str">
        <x:v>• Emergency Leave: Deducted from Annual Leave, Replacement Leave, or Unpaid Leave upon approval.</x:v>
      </x:c>
      <x:c r="E199" s="27" t="str"/>
      <x:c r="F199" s="25" t="str">
        <x:f>IF(E199="","Missing",IF(TRIM(E199)=TRIM(D199),"Review: same as English","Translated"))</x:f>
        <x:v>Missing</x:v>
      </x:c>
      <x:c r="G199" s="27" t="str"/>
      <x:c r="H199" s="25" t="str">
        <x:f>IF(G199="","Missing",IF(TRIM(G199)=TRIM(D199),"Review: same as English","Translated"))</x:f>
        <x:v>Missing</x:v>
      </x:c>
      <x:c r="I199" s="27" t="str">
        <x:v>No Malay or Chinese module currently exists in the application.</x:v>
      </x:c>
    </x:row>
    <x:row r="200" ht="34" customHeight="1">
      <x:c r="A200" s="25" t="n">
        <x:v>5</x:v>
      </x:c>
      <x:c r="B200" s="25" t="str">
        <x:v>content.subsections[2].paragraphs[5]</x:v>
      </x:c>
      <x:c r="C200" s="25" t="str">
        <x:v>Module 5 subsection 3 paragraph 6</x:v>
      </x:c>
      <x:c r="D200" s="25" t="str">
        <x:v>• Unpaid Leave: Maximum 14 days per calendar year after exhausting leave entitlements.</x:v>
      </x:c>
      <x:c r="E200" s="27" t="str"/>
      <x:c r="F200" s="25" t="str">
        <x:f>IF(E200="","Missing",IF(TRIM(E200)=TRIM(D200),"Review: same as English","Translated"))</x:f>
        <x:v>Missing</x:v>
      </x:c>
      <x:c r="G200" s="27" t="str"/>
      <x:c r="H200" s="25" t="str">
        <x:f>IF(G200="","Missing",IF(TRIM(G200)=TRIM(D200),"Review: same as English","Translated"))</x:f>
        <x:v>Missing</x:v>
      </x:c>
      <x:c r="I200" s="27" t="str">
        <x:v>No Malay or Chinese module currently exists in the application.</x:v>
      </x:c>
    </x:row>
    <x:row r="201" ht="34" customHeight="1">
      <x:c r="A201" s="25" t="n">
        <x:v>5</x:v>
      </x:c>
      <x:c r="B201" s="25" t="str">
        <x:v>content.subsections[2].paragraphs[6]</x:v>
      </x:c>
      <x:c r="C201" s="25" t="str">
        <x:v>Module 5 subsection 3 paragraph 7</x:v>
      </x:c>
      <x:c r="D201" s="25" t="str">
        <x:v>• Examination Leave: Up to 2 days paid leave per examination paper for approved educational programmes.</x:v>
      </x:c>
      <x:c r="E201" s="27" t="str"/>
      <x:c r="F201" s="25" t="str">
        <x:f>IF(E201="","Missing",IF(TRIM(E201)=TRIM(D201),"Review: same as English","Translated"))</x:f>
        <x:v>Missing</x:v>
      </x:c>
      <x:c r="G201" s="27" t="str"/>
      <x:c r="H201" s="25" t="str">
        <x:f>IF(G201="","Missing",IF(TRIM(G201)=TRIM(D201),"Review: same as English","Translated"))</x:f>
        <x:v>Missing</x:v>
      </x:c>
      <x:c r="I201" s="27" t="str">
        <x:v>No Malay or Chinese module currently exists in the application.</x:v>
      </x:c>
    </x:row>
    <x:row r="202" ht="34" customHeight="1">
      <x:c r="A202" s="25" t="n">
        <x:v>5</x:v>
      </x:c>
      <x:c r="B202" s="25" t="str">
        <x:v>content.subsections[2].paragraphs[7]</x:v>
      </x:c>
      <x:c r="C202" s="25" t="str">
        <x:v>Module 5 subsection 3 paragraph 8</x:v>
      </x:c>
      <x:c r="D202" s="25" t="str">
        <x:v>• Leave Carry Forward: Maximum 50% unused Annual Leave carried forward, to be utilised by 31 May of following calendar year.</x:v>
      </x:c>
      <x:c r="E202" s="27" t="str"/>
      <x:c r="F202" s="25" t="str">
        <x:f>IF(E202="","Missing",IF(TRIM(E202)=TRIM(D202),"Review: same as English","Translated"))</x:f>
        <x:v>Missing</x:v>
      </x:c>
      <x:c r="G202" s="27" t="str"/>
      <x:c r="H202" s="25" t="str">
        <x:f>IF(G202="","Missing",IF(TRIM(G202)=TRIM(D202),"Review: same as English","Translated"))</x:f>
        <x:v>Missing</x:v>
      </x:c>
      <x:c r="I202" s="27" t="str">
        <x:v>No Malay or Chinese module currently exists in the application.</x:v>
      </x:c>
    </x:row>
    <x:row r="203" ht="20" customHeight="1">
      <x:c r="A203" s="25" t="n">
        <x:v>5</x:v>
      </x:c>
      <x:c r="B203" s="25" t="str">
        <x:v>content.subsections[3].title</x:v>
      </x:c>
      <x:c r="C203" s="25" t="str">
        <x:v>Module 5 subsection 4 title</x:v>
      </x:c>
      <x:c r="D203" s="25" t="str">
        <x:v>4. LEAVE APPLICATION PROCEDURE</x:v>
      </x:c>
      <x:c r="E203" s="27" t="str"/>
      <x:c r="F203" s="25" t="str">
        <x:f>IF(E203="","Missing",IF(TRIM(E203)=TRIM(D203),"Review: same as English","Translated"))</x:f>
        <x:v>Missing</x:v>
      </x:c>
      <x:c r="G203" s="27" t="str"/>
      <x:c r="H203" s="25" t="str">
        <x:f>IF(G203="","Missing",IF(TRIM(G203)=TRIM(D203),"Review: same as English","Translated"))</x:f>
        <x:v>Missing</x:v>
      </x:c>
      <x:c r="I203" s="27" t="str">
        <x:v>No Malay or Chinese module currently exists in the application.</x:v>
      </x:c>
    </x:row>
    <x:row r="204" ht="20" customHeight="1">
      <x:c r="A204" s="25" t="n">
        <x:v>5</x:v>
      </x:c>
      <x:c r="B204" s="25" t="str">
        <x:v>content.subsections[3].paragraphs[0]</x:v>
      </x:c>
      <x:c r="C204" s="25" t="str">
        <x:v>Module 5 subsection 4 paragraph 1</x:v>
      </x:c>
      <x:c r="D204" s="25" t="str">
        <x:v>Planned Leave Procedure:</x:v>
      </x:c>
      <x:c r="E204" s="27" t="str"/>
      <x:c r="F204" s="25" t="str">
        <x:f>IF(E204="","Missing",IF(TRIM(E204)=TRIM(D204),"Review: same as English","Translated"))</x:f>
        <x:v>Missing</x:v>
      </x:c>
      <x:c r="G204" s="27" t="str"/>
      <x:c r="H204" s="25" t="str">
        <x:f>IF(G204="","Missing",IF(TRIM(G204)=TRIM(D204),"Review: same as English","Translated"))</x:f>
        <x:v>Missing</x:v>
      </x:c>
      <x:c r="I204" s="27" t="str">
        <x:v>No Malay or Chinese module currently exists in the application.</x:v>
      </x:c>
    </x:row>
    <x:row r="205" ht="20" customHeight="1">
      <x:c r="A205" s="25" t="n">
        <x:v>5</x:v>
      </x:c>
      <x:c r="B205" s="25" t="str">
        <x:v>content.subsections[3].paragraphs[1]</x:v>
      </x:c>
      <x:c r="C205" s="25" t="str">
        <x:v>Module 5 subsection 4 paragraph 2</x:v>
      </x:c>
      <x:c r="D205" s="25" t="str">
        <x:v>1. Employee seeks approval from Supervisor.</x:v>
      </x:c>
      <x:c r="E205" s="27" t="str"/>
      <x:c r="F205" s="25" t="str">
        <x:f>IF(E205="","Missing",IF(TRIM(E205)=TRIM(D205),"Review: same as English","Translated"))</x:f>
        <x:v>Missing</x:v>
      </x:c>
      <x:c r="G205" s="27" t="str"/>
      <x:c r="H205" s="25" t="str">
        <x:f>IF(G205="","Missing",IF(TRIM(G205)=TRIM(D205),"Review: same as English","Translated"))</x:f>
        <x:v>Missing</x:v>
      </x:c>
      <x:c r="I205" s="27" t="str">
        <x:v>No Malay or Chinese module currently exists in the application.</x:v>
      </x:c>
    </x:row>
    <x:row r="206" ht="34" customHeight="1">
      <x:c r="A206" s="25" t="n">
        <x:v>5</x:v>
      </x:c>
      <x:c r="B206" s="25" t="str">
        <x:v>content.subsections[3].paragraphs[2]</x:v>
      </x:c>
      <x:c r="C206" s="25" t="str">
        <x:v>Module 5 subsection 4 paragraph 3</x:v>
      </x:c>
      <x:c r="D206" s="25" t="str">
        <x:v>2. Employee submits application via designated system with proof of approval.</x:v>
      </x:c>
      <x:c r="E206" s="27" t="str"/>
      <x:c r="F206" s="25" t="str">
        <x:f>IF(E206="","Missing",IF(TRIM(E206)=TRIM(D206),"Review: same as English","Translated"))</x:f>
        <x:v>Missing</x:v>
      </x:c>
      <x:c r="G206" s="27" t="str"/>
      <x:c r="H206" s="25" t="str">
        <x:f>IF(G206="","Missing",IF(TRIM(G206)=TRIM(D206),"Review: same as English","Translated"))</x:f>
        <x:v>Missing</x:v>
      </x:c>
      <x:c r="I206" s="27" t="str">
        <x:v>No Malay or Chinese module currently exists in the application.</x:v>
      </x:c>
    </x:row>
    <x:row r="207" ht="20" customHeight="1">
      <x:c r="A207" s="25" t="n">
        <x:v>5</x:v>
      </x:c>
      <x:c r="B207" s="25" t="str">
        <x:v>content.subsections[3].paragraphs[3]</x:v>
      </x:c>
      <x:c r="C207" s="25" t="str">
        <x:v>Module 5 subsection 4 paragraph 4</x:v>
      </x:c>
      <x:c r="D207" s="25" t="str">
        <x:v>3. HR reviews and updates records.</x:v>
      </x:c>
      <x:c r="E207" s="27" t="str"/>
      <x:c r="F207" s="25" t="str">
        <x:f>IF(E207="","Missing",IF(TRIM(E207)=TRIM(D207),"Review: same as English","Translated"))</x:f>
        <x:v>Missing</x:v>
      </x:c>
      <x:c r="G207" s="27" t="str"/>
      <x:c r="H207" s="25" t="str">
        <x:f>IF(G207="","Missing",IF(TRIM(G207)=TRIM(D207),"Review: same as English","Translated"))</x:f>
        <x:v>Missing</x:v>
      </x:c>
      <x:c r="I207" s="27" t="str">
        <x:v>No Malay or Chinese module currently exists in the application.</x:v>
      </x:c>
    </x:row>
    <x:row r="208" ht="34" customHeight="1">
      <x:c r="A208" s="25" t="n">
        <x:v>5</x:v>
      </x:c>
      <x:c r="B208" s="25" t="str">
        <x:v>content.subsections[3].paragraphs[4]</x:v>
      </x:c>
      <x:c r="C208" s="25" t="str">
        <x:v>Module 5 subsection 4 paragraph 5</x:v>
      </x:c>
      <x:c r="D208" s="25" t="str">
        <x:v>Requests for 3-5 days must be submitted 1 month in advance; requests &gt;5 days submitted 2 months in advance.</x:v>
      </x:c>
      <x:c r="E208" s="27" t="str"/>
      <x:c r="F208" s="25" t="str">
        <x:f>IF(E208="","Missing",IF(TRIM(E208)=TRIM(D208),"Review: same as English","Translated"))</x:f>
        <x:v>Missing</x:v>
      </x:c>
      <x:c r="G208" s="27" t="str"/>
      <x:c r="H208" s="25" t="str">
        <x:f>IF(G208="","Missing",IF(TRIM(G208)=TRIM(D208),"Review: same as English","Translated"))</x:f>
        <x:v>Missing</x:v>
      </x:c>
      <x:c r="I208" s="27" t="str">
        <x:v>No Malay or Chinese module currently exists in the application.</x:v>
      </x:c>
    </x:row>
    <x:row r="209" ht="48" customHeight="1">
      <x:c r="A209" s="25" t="n">
        <x:v>5</x:v>
      </x:c>
      <x:c r="B209" s="25" t="str">
        <x:v>content.keyTakeaway</x:v>
      </x:c>
      <x:c r="C209" s="25" t="str">
        <x:v>Module 5 key takeaway</x:v>
      </x:c>
      <x:c r="D209" s="25" t="str">
        <x:v>Leave must be applied at least 1 week in advance for 1-2 days, 1 month in advance for 3-5 days, and 2 months in advance for requests exceeding 5 days.</x:v>
      </x:c>
      <x:c r="E209" s="27" t="str"/>
      <x:c r="F209" s="25" t="str">
        <x:f>IF(E209="","Missing",IF(TRIM(E209)=TRIM(D209),"Review: same as English","Translated"))</x:f>
        <x:v>Missing</x:v>
      </x:c>
      <x:c r="G209" s="27" t="str"/>
      <x:c r="H209" s="25" t="str">
        <x:f>IF(G209="","Missing",IF(TRIM(G209)=TRIM(D209),"Review: same as English","Translated"))</x:f>
        <x:v>Missing</x:v>
      </x:c>
      <x:c r="I209" s="27" t="str">
        <x:v>No Malay or Chinese module currently exists in the application.</x:v>
      </x:c>
    </x:row>
    <x:row r="210" ht="20" customHeight="1">
      <x:c r="A210" s="25" t="n">
        <x:v>6</x:v>
      </x:c>
      <x:c r="B210" s="25" t="str">
        <x:v>title</x:v>
      </x:c>
      <x:c r="C210" s="25" t="str">
        <x:v>Module 6 title</x:v>
      </x:c>
      <x:c r="D210" s="25" t="str">
        <x:v>Part 6 – Compensation &amp; Benefits</x:v>
      </x:c>
      <x:c r="E210" s="27" t="str"/>
      <x:c r="F210" s="25" t="str">
        <x:f>IF(E210="","Missing",IF(TRIM(E210)=TRIM(D210),"Review: same as English","Translated"))</x:f>
        <x:v>Missing</x:v>
      </x:c>
      <x:c r="G210" s="27" t="str"/>
      <x:c r="H210" s="25" t="str">
        <x:f>IF(G210="","Missing",IF(TRIM(G210)=TRIM(D210),"Review: same as English","Translated"))</x:f>
        <x:v>Missing</x:v>
      </x:c>
      <x:c r="I210" s="27" t="str">
        <x:v>No Malay or Chinese module currently exists in the application.</x:v>
      </x:c>
    </x:row>
    <x:row r="211" ht="34" customHeight="1">
      <x:c r="A211" s="25" t="n">
        <x:v>6</x:v>
      </x:c>
      <x:c r="B211" s="25" t="str">
        <x:v>subtitle</x:v>
      </x:c>
      <x:c r="C211" s="25" t="str">
        <x:v>Module 6 subtitle</x:v>
      </x:c>
      <x:c r="D211" s="25" t="str">
        <x:v>Salary administration, monthly payroll cycle, deductions, overtime, allowances, claims &amp; bonus policy</x:v>
      </x:c>
      <x:c r="E211" s="27" t="str"/>
      <x:c r="F211" s="25" t="str">
        <x:f>IF(E211="","Missing",IF(TRIM(E211)=TRIM(D211),"Review: same as English","Translated"))</x:f>
        <x:v>Missing</x:v>
      </x:c>
      <x:c r="G211" s="27" t="str"/>
      <x:c r="H211" s="25" t="str">
        <x:f>IF(G211="","Missing",IF(TRIM(G211)=TRIM(D211),"Review: same as English","Translated"))</x:f>
        <x:v>Missing</x:v>
      </x:c>
      <x:c r="I211" s="27" t="str">
        <x:v>No Malay or Chinese module currently exists in the application.</x:v>
      </x:c>
    </x:row>
    <x:row r="212" ht="20" customHeight="1">
      <x:c r="A212" s="25" t="n">
        <x:v>6</x:v>
      </x:c>
      <x:c r="B212" s="25" t="str">
        <x:v>content.sectionTitle</x:v>
      </x:c>
      <x:c r="C212" s="25" t="str">
        <x:v>Module 6 section heading</x:v>
      </x:c>
      <x:c r="D212" s="25" t="str">
        <x:v>PART 6 – COMPENSATION &amp; BENEFITS</x:v>
      </x:c>
      <x:c r="E212" s="27" t="str"/>
      <x:c r="F212" s="25" t="str">
        <x:f>IF(E212="","Missing",IF(TRIM(E212)=TRIM(D212),"Review: same as English","Translated"))</x:f>
        <x:v>Missing</x:v>
      </x:c>
      <x:c r="G212" s="27" t="str"/>
      <x:c r="H212" s="25" t="str">
        <x:f>IF(G212="","Missing",IF(TRIM(G212)=TRIM(D212),"Review: same as English","Translated"))</x:f>
        <x:v>Missing</x:v>
      </x:c>
      <x:c r="I212" s="27" t="str">
        <x:v>No Malay or Chinese module currently exists in the application.</x:v>
      </x:c>
    </x:row>
    <x:row r="213" ht="48" customHeight="1">
      <x:c r="A213" s="25" t="n">
        <x:v>6</x:v>
      </x:c>
      <x:c r="B213" s="25" t="str">
        <x:v>content.bodyParagraphs[0]</x:v>
      </x:c>
      <x:c r="C213" s="25" t="str">
        <x:v>Module 6 opening paragraph 1</x:v>
      </x:c>
      <x:c r="D213" s="25" t="str">
        <x:v>The Company is committed to providing fair and competitive compensation and benefits that recognise employee contributions while supporting business sustainability.</x:v>
      </x:c>
      <x:c r="E213" s="27" t="str"/>
      <x:c r="F213" s="25" t="str">
        <x:f>IF(E213="","Missing",IF(TRIM(E213)=TRIM(D213),"Review: same as English","Translated"))</x:f>
        <x:v>Missing</x:v>
      </x:c>
      <x:c r="G213" s="27" t="str"/>
      <x:c r="H213" s="25" t="str">
        <x:f>IF(G213="","Missing",IF(TRIM(G213)=TRIM(D213),"Review: same as English","Translated"))</x:f>
        <x:v>Missing</x:v>
      </x:c>
      <x:c r="I213" s="27" t="str">
        <x:v>No Malay or Chinese module currently exists in the application.</x:v>
      </x:c>
    </x:row>
    <x:row r="214" ht="20" customHeight="1">
      <x:c r="A214" s="25" t="n">
        <x:v>6</x:v>
      </x:c>
      <x:c r="B214" s="25" t="str">
        <x:v>content.subsections[0].title</x:v>
      </x:c>
      <x:c r="C214" s="25" t="str">
        <x:v>Module 6 subsection 1 title</x:v>
      </x:c>
      <x:c r="D214" s="25" t="str">
        <x:v>1. SALARY ADMINISTRATION &amp; PAYROLL POLICY</x:v>
      </x:c>
      <x:c r="E214" s="27" t="str"/>
      <x:c r="F214" s="25" t="str">
        <x:f>IF(E214="","Missing",IF(TRIM(E214)=TRIM(D214),"Review: same as English","Translated"))</x:f>
        <x:v>Missing</x:v>
      </x:c>
      <x:c r="G214" s="27" t="str"/>
      <x:c r="H214" s="25" t="str">
        <x:f>IF(G214="","Missing",IF(TRIM(G214)=TRIM(D214),"Review: same as English","Translated"))</x:f>
        <x:v>Missing</x:v>
      </x:c>
      <x:c r="I214" s="27" t="str">
        <x:v>No Malay or Chinese module currently exists in the application.</x:v>
      </x:c>
    </x:row>
    <x:row r="215" ht="34" customHeight="1">
      <x:c r="A215" s="25" t="n">
        <x:v>6</x:v>
      </x:c>
      <x:c r="B215" s="25" t="str">
        <x:v>content.subsections[0].paragraphs[0]</x:v>
      </x:c>
      <x:c r="C215" s="25" t="str">
        <x:v>Module 6 subsection 1 paragraph 1</x:v>
      </x:c>
      <x:c r="D215" s="25" t="str">
        <x:v>Salaries are paid monthly on or before the seventh (7th) day of the following month via direct bank transfer.</x:v>
      </x:c>
      <x:c r="E215" s="27" t="str"/>
      <x:c r="F215" s="25" t="str">
        <x:f>IF(E215="","Missing",IF(TRIM(E215)=TRIM(D215),"Review: same as English","Translated"))</x:f>
        <x:v>Missing</x:v>
      </x:c>
      <x:c r="G215" s="27" t="str"/>
      <x:c r="H215" s="25" t="str">
        <x:f>IF(G215="","Missing",IF(TRIM(G215)=TRIM(D215),"Review: same as English","Translated"))</x:f>
        <x:v>Missing</x:v>
      </x:c>
      <x:c r="I215" s="27" t="str">
        <x:v>No Malay or Chinese module currently exists in the application.</x:v>
      </x:c>
    </x:row>
    <x:row r="216" ht="34" customHeight="1">
      <x:c r="A216" s="25" t="n">
        <x:v>6</x:v>
      </x:c>
      <x:c r="B216" s="25" t="str">
        <x:v>content.subsections[0].paragraphs[1]</x:v>
      </x:c>
      <x:c r="C216" s="25" t="str">
        <x:v>Module 6 subsection 1 paragraph 2</x:v>
      </x:c>
      <x:c r="D216" s="25" t="str">
        <x:v>Electronic payslips are issued monthly. Employees must review payslips and report discrepancies within seven (7) calendar days.</x:v>
      </x:c>
      <x:c r="E216" s="27" t="str"/>
      <x:c r="F216" s="25" t="str">
        <x:f>IF(E216="","Missing",IF(TRIM(E216)=TRIM(D216),"Review: same as English","Translated"))</x:f>
        <x:v>Missing</x:v>
      </x:c>
      <x:c r="G216" s="27" t="str"/>
      <x:c r="H216" s="25" t="str">
        <x:f>IF(G216="","Missing",IF(TRIM(G216)=TRIM(D216),"Review: same as English","Translated"))</x:f>
        <x:v>Missing</x:v>
      </x:c>
      <x:c r="I216" s="27" t="str">
        <x:v>No Malay or Chinese module currently exists in the application.</x:v>
      </x:c>
    </x:row>
    <x:row r="217" ht="20" customHeight="1">
      <x:c r="A217" s="25" t="n">
        <x:v>6</x:v>
      </x:c>
      <x:c r="B217" s="25" t="str">
        <x:v>content.subsections[1].title</x:v>
      </x:c>
      <x:c r="C217" s="25" t="str">
        <x:v>Module 6 subsection 2 title</x:v>
      </x:c>
      <x:c r="D217" s="25" t="str">
        <x:v>2. SALARY DEDUCTIONS &amp; OVERTIME PAYMENT</x:v>
      </x:c>
      <x:c r="E217" s="27" t="str"/>
      <x:c r="F217" s="25" t="str">
        <x:f>IF(E217="","Missing",IF(TRIM(E217)=TRIM(D217),"Review: same as English","Translated"))</x:f>
        <x:v>Missing</x:v>
      </x:c>
      <x:c r="G217" s="27" t="str"/>
      <x:c r="H217" s="25" t="str">
        <x:f>IF(G217="","Missing",IF(TRIM(G217)=TRIM(D217),"Review: same as English","Translated"))</x:f>
        <x:v>Missing</x:v>
      </x:c>
      <x:c r="I217" s="27" t="str">
        <x:v>No Malay or Chinese module currently exists in the application.</x:v>
      </x:c>
    </x:row>
    <x:row r="218" ht="48" customHeight="1">
      <x:c r="A218" s="25" t="n">
        <x:v>6</x:v>
      </x:c>
      <x:c r="B218" s="25" t="str">
        <x:v>content.subsections[1].paragraphs[0]</x:v>
      </x:c>
      <x:c r="C218" s="25" t="str">
        <x:v>Module 6 subsection 2 paragraph 1</x:v>
      </x:c>
      <x:c r="D218" s="25" t="str">
        <x:v>Permissible deductions include EPF, SOCSO, EIS, PCB (Monthly Tax Deduction), Unpaid Leave, Salary Advances, Approved Purchases, and Overpayment Recoveries.</x:v>
      </x:c>
      <x:c r="E218" s="27" t="str"/>
      <x:c r="F218" s="25" t="str">
        <x:f>IF(E218="","Missing",IF(TRIM(E218)=TRIM(D218),"Review: same as English","Translated"))</x:f>
        <x:v>Missing</x:v>
      </x:c>
      <x:c r="G218" s="27" t="str"/>
      <x:c r="H218" s="25" t="str">
        <x:f>IF(G218="","Missing",IF(TRIM(G218)=TRIM(D218),"Review: same as English","Translated"))</x:f>
        <x:v>Missing</x:v>
      </x:c>
      <x:c r="I218" s="27" t="str">
        <x:v>No Malay or Chinese module currently exists in the application.</x:v>
      </x:c>
    </x:row>
    <x:row r="219" ht="34" customHeight="1">
      <x:c r="A219" s="25" t="n">
        <x:v>6</x:v>
      </x:c>
      <x:c r="B219" s="25" t="str">
        <x:v>content.subsections[1].paragraphs[1]</x:v>
      </x:c>
      <x:c r="C219" s="25" t="str">
        <x:v>Module 6 subsection 2 paragraph 2</x:v>
      </x:c>
      <x:c r="D219" s="25" t="str">
        <x:v>Overtime work must be pre-approved in writing by the Reporting Manager.</x:v>
      </x:c>
      <x:c r="E219" s="27" t="str"/>
      <x:c r="F219" s="25" t="str">
        <x:f>IF(E219="","Missing",IF(TRIM(E219)=TRIM(D219),"Review: same as English","Translated"))</x:f>
        <x:v>Missing</x:v>
      </x:c>
      <x:c r="G219" s="27" t="str"/>
      <x:c r="H219" s="25" t="str">
        <x:f>IF(G219="","Missing",IF(TRIM(G219)=TRIM(D219),"Review: same as English","Translated"))</x:f>
        <x:v>Missing</x:v>
      </x:c>
      <x:c r="I219" s="27" t="str">
        <x:v>No Malay or Chinese module currently exists in the application.</x:v>
      </x:c>
    </x:row>
    <x:row r="220" ht="20" customHeight="1">
      <x:c r="A220" s="25" t="n">
        <x:v>6</x:v>
      </x:c>
      <x:c r="B220" s="25" t="str">
        <x:v>content.subsections[2].title</x:v>
      </x:c>
      <x:c r="C220" s="25" t="str">
        <x:v>Module 6 subsection 3 title</x:v>
      </x:c>
      <x:c r="D220" s="25" t="str">
        <x:v>3. ALLOWANCE POLICY &amp; CLAIMS REIMBURSEMENT</x:v>
      </x:c>
      <x:c r="E220" s="27" t="str"/>
      <x:c r="F220" s="25" t="str">
        <x:f>IF(E220="","Missing",IF(TRIM(E220)=TRIM(D220),"Review: same as English","Translated"))</x:f>
        <x:v>Missing</x:v>
      </x:c>
      <x:c r="G220" s="27" t="str"/>
      <x:c r="H220" s="25" t="str">
        <x:f>IF(G220="","Missing",IF(TRIM(G220)=TRIM(D220),"Review: same as English","Translated"))</x:f>
        <x:v>Missing</x:v>
      </x:c>
      <x:c r="I220" s="27" t="str">
        <x:v>No Malay or Chinese module currently exists in the application.</x:v>
      </x:c>
    </x:row>
    <x:row r="221" ht="48" customHeight="1">
      <x:c r="A221" s="25" t="n">
        <x:v>6</x:v>
      </x:c>
      <x:c r="B221" s="25" t="str">
        <x:v>content.subsections[2].paragraphs[0]</x:v>
      </x:c>
      <x:c r="C221" s="25" t="str">
        <x:v>Module 6 subsection 3 paragraph 1</x:v>
      </x:c>
      <x:c r="D221" s="25" t="str">
        <x:v>Allowances (Travel, Transportation, Mobile Phone, Meal, Outstation, Parking, Internet, Acting) are non-contractual and determined by Management.</x:v>
      </x:c>
      <x:c r="E221" s="27" t="str"/>
      <x:c r="F221" s="25" t="str">
        <x:f>IF(E221="","Missing",IF(TRIM(E221)=TRIM(D221),"Review: same as English","Translated"))</x:f>
        <x:v>Missing</x:v>
      </x:c>
      <x:c r="G221" s="27" t="str"/>
      <x:c r="H221" s="25" t="str">
        <x:f>IF(G221="","Missing",IF(TRIM(G221)=TRIM(D221),"Review: same as English","Translated"))</x:f>
        <x:v>Missing</x:v>
      </x:c>
      <x:c r="I221" s="27" t="str">
        <x:v>No Malay or Chinese module currently exists in the application.</x:v>
      </x:c>
    </x:row>
    <x:row r="222" ht="48" customHeight="1">
      <x:c r="A222" s="25" t="n">
        <x:v>6</x:v>
      </x:c>
      <x:c r="B222" s="25" t="str">
        <x:v>content.subsections[2].paragraphs[1]</x:v>
      </x:c>
      <x:c r="C222" s="25" t="str">
        <x:v>Module 6 subsection 3 paragraph 2</x:v>
      </x:c>
      <x:c r="D222" s="25" t="str">
        <x:v>Business Expense Claims (Transportation, Parking, Toll, Accommodation, Meals, Entertainment) must be submitted within one (1) month of expense, on or before the 25th cut-off date with original receipts.</x:v>
      </x:c>
      <x:c r="E222" s="27" t="str"/>
      <x:c r="F222" s="25" t="str">
        <x:f>IF(E222="","Missing",IF(TRIM(E222)=TRIM(D222),"Review: same as English","Translated"))</x:f>
        <x:v>Missing</x:v>
      </x:c>
      <x:c r="G222" s="27" t="str"/>
      <x:c r="H222" s="25" t="str">
        <x:f>IF(G222="","Missing",IF(TRIM(G222)=TRIM(D222),"Review: same as English","Translated"))</x:f>
        <x:v>Missing</x:v>
      </x:c>
      <x:c r="I222" s="27" t="str">
        <x:v>No Malay or Chinese module currently exists in the application.</x:v>
      </x:c>
    </x:row>
    <x:row r="223" ht="20" customHeight="1">
      <x:c r="A223" s="25" t="n">
        <x:v>6</x:v>
      </x:c>
      <x:c r="B223" s="25" t="str">
        <x:v>content.subsections[3].title</x:v>
      </x:c>
      <x:c r="C223" s="25" t="str">
        <x:v>Module 6 subsection 4 title</x:v>
      </x:c>
      <x:c r="D223" s="25" t="str">
        <x:v>4. BONUS &amp; INCREMENT POLICY</x:v>
      </x:c>
      <x:c r="E223" s="27" t="str"/>
      <x:c r="F223" s="25" t="str">
        <x:f>IF(E223="","Missing",IF(TRIM(E223)=TRIM(D223),"Review: same as English","Translated"))</x:f>
        <x:v>Missing</x:v>
      </x:c>
      <x:c r="G223" s="27" t="str"/>
      <x:c r="H223" s="25" t="str">
        <x:f>IF(G223="","Missing",IF(TRIM(G223)=TRIM(D223),"Review: same as English","Translated"))</x:f>
        <x:v>Missing</x:v>
      </x:c>
      <x:c r="I223" s="27" t="str">
        <x:v>No Malay or Chinese module currently exists in the application.</x:v>
      </x:c>
    </x:row>
    <x:row r="224" ht="48" customHeight="1">
      <x:c r="A224" s="25" t="n">
        <x:v>6</x:v>
      </x:c>
      <x:c r="B224" s="25" t="str">
        <x:v>content.subsections[3].paragraphs[0]</x:v>
      </x:c>
      <x:c r="C224" s="25" t="str">
        <x:v>Module 6 subsection 4 paragraph 1</x:v>
      </x:c>
      <x:c r="D224" s="25" t="str">
        <x:v>Bonuses and salary increments are granted solely at Company discretion based on company financial results, department performance, individual KPIs, conduct, and attendance records.</x:v>
      </x:c>
      <x:c r="E224" s="27" t="str"/>
      <x:c r="F224" s="25" t="str">
        <x:f>IF(E224="","Missing",IF(TRIM(E224)=TRIM(D224),"Review: same as English","Translated"))</x:f>
        <x:v>Missing</x:v>
      </x:c>
      <x:c r="G224" s="27" t="str"/>
      <x:c r="H224" s="25" t="str">
        <x:f>IF(G224="","Missing",IF(TRIM(G224)=TRIM(D224),"Review: same as English","Translated"))</x:f>
        <x:v>Missing</x:v>
      </x:c>
      <x:c r="I224" s="27" t="str">
        <x:v>No Malay or Chinese module currently exists in the application.</x:v>
      </x:c>
    </x:row>
    <x:row r="225" ht="34" customHeight="1">
      <x:c r="A225" s="25" t="n">
        <x:v>6</x:v>
      </x:c>
      <x:c r="B225" s="25" t="str">
        <x:v>content.subsections[3].paragraphs[1]</x:v>
      </x:c>
      <x:c r="C225" s="25" t="str">
        <x:v>Module 6 subsection 4 paragraph 2</x:v>
      </x:c>
      <x:c r="D225" s="25" t="str">
        <x:v>Employees serving resignation notice or under disciplinary investigation are not eligible for bonus payments.</x:v>
      </x:c>
      <x:c r="E225" s="27" t="str"/>
      <x:c r="F225" s="25" t="str">
        <x:f>IF(E225="","Missing",IF(TRIM(E225)=TRIM(D225),"Review: same as English","Translated"))</x:f>
        <x:v>Missing</x:v>
      </x:c>
      <x:c r="G225" s="27" t="str"/>
      <x:c r="H225" s="25" t="str">
        <x:f>IF(G225="","Missing",IF(TRIM(G225)=TRIM(D225),"Review: same as English","Translated"))</x:f>
        <x:v>Missing</x:v>
      </x:c>
      <x:c r="I225" s="27" t="str">
        <x:v>No Malay or Chinese module currently exists in the application.</x:v>
      </x:c>
    </x:row>
    <x:row r="226" ht="48" customHeight="1">
      <x:c r="A226" s="25" t="n">
        <x:v>6</x:v>
      </x:c>
      <x:c r="B226" s="25" t="str">
        <x:v>content.keyTakeaway</x:v>
      </x:c>
      <x:c r="C226" s="25" t="str">
        <x:v>Module 6 key takeaway</x:v>
      </x:c>
      <x:c r="D226" s="25" t="str">
        <x:v>Expense claims must be submitted on or before the 25th day of each month; approved claims are reimbursed on the 5th day of the following month.</x:v>
      </x:c>
      <x:c r="E226" s="27" t="str"/>
      <x:c r="F226" s="25" t="str">
        <x:f>IF(E226="","Missing",IF(TRIM(E226)=TRIM(D226),"Review: same as English","Translated"))</x:f>
        <x:v>Missing</x:v>
      </x:c>
      <x:c r="G226" s="27" t="str"/>
      <x:c r="H226" s="25" t="str">
        <x:f>IF(G226="","Missing",IF(TRIM(G226)=TRIM(D226),"Review: same as English","Translated"))</x:f>
        <x:v>Missing</x:v>
      </x:c>
      <x:c r="I226" s="27" t="str">
        <x:v>No Malay or Chinese module currently exists in the application.</x:v>
      </x:c>
    </x:row>
    <x:row r="227" ht="20" customHeight="1">
      <x:c r="A227" s="25" t="n">
        <x:v>7</x:v>
      </x:c>
      <x:c r="B227" s="25" t="str">
        <x:v>title</x:v>
      </x:c>
      <x:c r="C227" s="25" t="str">
        <x:v>Module 7 title</x:v>
      </x:c>
      <x:c r="D227" s="25" t="str">
        <x:v>Part 7 – Statutory &amp; Tax Compliance</x:v>
      </x:c>
      <x:c r="E227" s="27" t="str"/>
      <x:c r="F227" s="25" t="str">
        <x:f>IF(E227="","Missing",IF(TRIM(E227)=TRIM(D227),"Review: same as English","Translated"))</x:f>
        <x:v>Missing</x:v>
      </x:c>
      <x:c r="G227" s="27" t="str"/>
      <x:c r="H227" s="25" t="str">
        <x:f>IF(G227="","Missing",IF(TRIM(G227)=TRIM(D227),"Review: same as English","Translated"))</x:f>
        <x:v>Missing</x:v>
      </x:c>
      <x:c r="I227" s="27" t="str">
        <x:v>No Malay or Chinese module currently exists in the application.</x:v>
      </x:c>
    </x:row>
    <x:row r="228" ht="34" customHeight="1">
      <x:c r="A228" s="25" t="n">
        <x:v>7</x:v>
      </x:c>
      <x:c r="B228" s="25" t="str">
        <x:v>subtitle</x:v>
      </x:c>
      <x:c r="C228" s="25" t="str">
        <x:v>Module 7 subtitle</x:v>
      </x:c>
      <x:c r="D228" s="25" t="str">
        <x:v>EPF/KWSP, SOCSO/PERKESO, SKBBK, EIS, HRD Corp Levy, PCB monthly tax &amp; LHDN income tax filing</x:v>
      </x:c>
      <x:c r="E228" s="27" t="str"/>
      <x:c r="F228" s="25" t="str">
        <x:f>IF(E228="","Missing",IF(TRIM(E228)=TRIM(D228),"Review: same as English","Translated"))</x:f>
        <x:v>Missing</x:v>
      </x:c>
      <x:c r="G228" s="27" t="str"/>
      <x:c r="H228" s="25" t="str">
        <x:f>IF(G228="","Missing",IF(TRIM(G228)=TRIM(D228),"Review: same as English","Translated"))</x:f>
        <x:v>Missing</x:v>
      </x:c>
      <x:c r="I228" s="27" t="str">
        <x:v>No Malay or Chinese module currently exists in the application.</x:v>
      </x:c>
    </x:row>
    <x:row r="229" ht="20" customHeight="1">
      <x:c r="A229" s="25" t="n">
        <x:v>7</x:v>
      </x:c>
      <x:c r="B229" s="25" t="str">
        <x:v>content.sectionTitle</x:v>
      </x:c>
      <x:c r="C229" s="25" t="str">
        <x:v>Module 7 section heading</x:v>
      </x:c>
      <x:c r="D229" s="25" t="str">
        <x:v>PART 7 – STATUTORY &amp; TAX COMPLIANCE</x:v>
      </x:c>
      <x:c r="E229" s="27" t="str"/>
      <x:c r="F229" s="25" t="str">
        <x:f>IF(E229="","Missing",IF(TRIM(E229)=TRIM(D229),"Review: same as English","Translated"))</x:f>
        <x:v>Missing</x:v>
      </x:c>
      <x:c r="G229" s="27" t="str"/>
      <x:c r="H229" s="25" t="str">
        <x:f>IF(G229="","Missing",IF(TRIM(G229)=TRIM(D229),"Review: same as English","Translated"))</x:f>
        <x:v>Missing</x:v>
      </x:c>
      <x:c r="I229" s="27" t="str">
        <x:v>No Malay or Chinese module currently exists in the application.</x:v>
      </x:c>
    </x:row>
    <x:row r="230" ht="34" customHeight="1">
      <x:c r="A230" s="25" t="n">
        <x:v>7</x:v>
      </x:c>
      <x:c r="B230" s="25" t="str">
        <x:v>content.bodyParagraphs[0]</x:v>
      </x:c>
      <x:c r="C230" s="25" t="str">
        <x:v>Module 7 opening paragraph 1</x:v>
      </x:c>
      <x:c r="D230" s="25" t="str">
        <x:v>The Company is committed to complying with all applicable employment, statutory contribution, and tax regulations in Malaysia.</x:v>
      </x:c>
      <x:c r="E230" s="27" t="str"/>
      <x:c r="F230" s="25" t="str">
        <x:f>IF(E230="","Missing",IF(TRIM(E230)=TRIM(D230),"Review: same as English","Translated"))</x:f>
        <x:v>Missing</x:v>
      </x:c>
      <x:c r="G230" s="27" t="str"/>
      <x:c r="H230" s="25" t="str">
        <x:f>IF(G230="","Missing",IF(TRIM(G230)=TRIM(D230),"Review: same as English","Translated"))</x:f>
        <x:v>Missing</x:v>
      </x:c>
      <x:c r="I230" s="27" t="str">
        <x:v>No Malay or Chinese module currently exists in the application.</x:v>
      </x:c>
    </x:row>
    <x:row r="231" ht="34" customHeight="1">
      <x:c r="A231" s="25" t="n">
        <x:v>7</x:v>
      </x:c>
      <x:c r="B231" s="25" t="str">
        <x:v>content.bodyParagraphs[1]</x:v>
      </x:c>
      <x:c r="C231" s="25" t="str">
        <x:v>Module 7 opening paragraph 2</x:v>
      </x:c>
      <x:c r="D231" s="25" t="str">
        <x:v>Employees are expected to cooperate by providing accurate information and fulfilling statutory obligations.</x:v>
      </x:c>
      <x:c r="E231" s="27" t="str"/>
      <x:c r="F231" s="25" t="str">
        <x:f>IF(E231="","Missing",IF(TRIM(E231)=TRIM(D231),"Review: same as English","Translated"))</x:f>
        <x:v>Missing</x:v>
      </x:c>
      <x:c r="G231" s="27" t="str"/>
      <x:c r="H231" s="25" t="str">
        <x:f>IF(G231="","Missing",IF(TRIM(G231)=TRIM(D231),"Review: same as English","Translated"))</x:f>
        <x:v>Missing</x:v>
      </x:c>
      <x:c r="I231" s="27" t="str">
        <x:v>No Malay or Chinese module currently exists in the application.</x:v>
      </x:c>
    </x:row>
    <x:row r="232" ht="20" customHeight="1">
      <x:c r="A232" s="25" t="n">
        <x:v>7</x:v>
      </x:c>
      <x:c r="B232" s="25" t="str">
        <x:v>content.subsections[0].title</x:v>
      </x:c>
      <x:c r="C232" s="25" t="str">
        <x:v>Module 7 subsection 1 title</x:v>
      </x:c>
      <x:c r="D232" s="25" t="str">
        <x:v>1. EPF (KWSP) &amp; SOCSO (PERKESO / SKBBK)</x:v>
      </x:c>
      <x:c r="E232" s="27" t="str"/>
      <x:c r="F232" s="25" t="str">
        <x:f>IF(E232="","Missing",IF(TRIM(E232)=TRIM(D232),"Review: same as English","Translated"))</x:f>
        <x:v>Missing</x:v>
      </x:c>
      <x:c r="G232" s="27" t="str"/>
      <x:c r="H232" s="25" t="str">
        <x:f>IF(G232="","Missing",IF(TRIM(G232)=TRIM(D232),"Review: same as English","Translated"))</x:f>
        <x:v>Missing</x:v>
      </x:c>
      <x:c r="I232" s="27" t="str">
        <x:v>No Malay or Chinese module currently exists in the application.</x:v>
      </x:c>
    </x:row>
    <x:row r="233" ht="34" customHeight="1">
      <x:c r="A233" s="25" t="n">
        <x:v>7</x:v>
      </x:c>
      <x:c r="B233" s="25" t="str">
        <x:v>content.subsections[0].paragraphs[0]</x:v>
      </x:c>
      <x:c r="C233" s="25" t="str">
        <x:v>Module 7 subsection 1 paragraph 1</x:v>
      </x:c>
      <x:c r="D233" s="25" t="str">
        <x:v>• EPF / KWSP: Mandatory retirement savings scheme administered via statutory employer and employee percentage contributions.</x:v>
      </x:c>
      <x:c r="E233" s="27" t="str"/>
      <x:c r="F233" s="25" t="str">
        <x:f>IF(E233="","Missing",IF(TRIM(E233)=TRIM(D233),"Review: same as English","Translated"))</x:f>
        <x:v>Missing</x:v>
      </x:c>
      <x:c r="G233" s="27" t="str"/>
      <x:c r="H233" s="25" t="str">
        <x:f>IF(G233="","Missing",IF(TRIM(G233)=TRIM(D233),"Review: same as English","Translated"))</x:f>
        <x:v>Missing</x:v>
      </x:c>
      <x:c r="I233" s="27" t="str">
        <x:v>No Malay or Chinese module currently exists in the application.</x:v>
      </x:c>
    </x:row>
    <x:row r="234" ht="48" customHeight="1">
      <x:c r="A234" s="25" t="n">
        <x:v>7</x:v>
      </x:c>
      <x:c r="B234" s="25" t="str">
        <x:v>content.subsections[0].paragraphs[1]</x:v>
      </x:c>
      <x:c r="C234" s="25" t="str">
        <x:v>Module 7 subsection 1 paragraph 2</x:v>
      </x:c>
      <x:c r="D234" s="25" t="str">
        <x:v>• SOCSO / PERKESO: Social security protection including Employment Injury Benefits, Invalidity Benefits, Rehabilitation, and the Self-Employment Social Security Scheme (SKBBK) where applicable.</x:v>
      </x:c>
      <x:c r="E234" s="27" t="str"/>
      <x:c r="F234" s="25" t="str">
        <x:f>IF(E234="","Missing",IF(TRIM(E234)=TRIM(D234),"Review: same as English","Translated"))</x:f>
        <x:v>Missing</x:v>
      </x:c>
      <x:c r="G234" s="27" t="str"/>
      <x:c r="H234" s="25" t="str">
        <x:f>IF(G234="","Missing",IF(TRIM(G234)=TRIM(D234),"Review: same as English","Translated"))</x:f>
        <x:v>Missing</x:v>
      </x:c>
      <x:c r="I234" s="27" t="str">
        <x:v>No Malay or Chinese module currently exists in the application.</x:v>
      </x:c>
    </x:row>
    <x:row r="235" ht="20" customHeight="1">
      <x:c r="A235" s="25" t="n">
        <x:v>7</x:v>
      </x:c>
      <x:c r="B235" s="25" t="str">
        <x:v>content.subsections[1].title</x:v>
      </x:c>
      <x:c r="C235" s="25" t="str">
        <x:v>Module 7 subsection 2 title</x:v>
      </x:c>
      <x:c r="D235" s="25" t="str">
        <x:v>2. EIS, HRD CORP &amp; TAX DEDUCTIONS (PCB / LHDN)</x:v>
      </x:c>
      <x:c r="E235" s="27" t="str"/>
      <x:c r="F235" s="25" t="str">
        <x:f>IF(E235="","Missing",IF(TRIM(E235)=TRIM(D235),"Review: same as English","Translated"))</x:f>
        <x:v>Missing</x:v>
      </x:c>
      <x:c r="G235" s="27" t="str"/>
      <x:c r="H235" s="25" t="str">
        <x:f>IF(G235="","Missing",IF(TRIM(G235)=TRIM(D235),"Review: same as English","Translated"))</x:f>
        <x:v>Missing</x:v>
      </x:c>
      <x:c r="I235" s="27" t="str">
        <x:v>No Malay or Chinese module currently exists in the application.</x:v>
      </x:c>
    </x:row>
    <x:row r="236" ht="34" customHeight="1">
      <x:c r="A236" s="25" t="n">
        <x:v>7</x:v>
      </x:c>
      <x:c r="B236" s="25" t="str">
        <x:v>content.subsections[1].paragraphs[0]</x:v>
      </x:c>
      <x:c r="C236" s="25" t="str">
        <x:v>Module 7 subsection 2 paragraph 1</x:v>
      </x:c>
      <x:c r="D236" s="25" t="str">
        <x:v>• EIS (Employment Insurance System): Temporary financial assistance and job search support for employment loss.</x:v>
      </x:c>
      <x:c r="E236" s="27" t="str"/>
      <x:c r="F236" s="25" t="str">
        <x:f>IF(E236="","Missing",IF(TRIM(E236)=TRIM(D236),"Review: same as English","Translated"))</x:f>
        <x:v>Missing</x:v>
      </x:c>
      <x:c r="G236" s="27" t="str"/>
      <x:c r="H236" s="25" t="str">
        <x:f>IF(G236="","Missing",IF(TRIM(G236)=TRIM(D236),"Review: same as English","Translated"))</x:f>
        <x:v>Missing</x:v>
      </x:c>
      <x:c r="I236" s="27" t="str">
        <x:v>No Malay or Chinese module currently exists in the application.</x:v>
      </x:c>
    </x:row>
    <x:row r="237" ht="34" customHeight="1">
      <x:c r="A237" s="25" t="n">
        <x:v>7</x:v>
      </x:c>
      <x:c r="B237" s="25" t="str">
        <x:v>content.subsections[1].paragraphs[1]</x:v>
      </x:c>
      <x:c r="C237" s="25" t="str">
        <x:v>Module 7 subsection 2 paragraph 2</x:v>
      </x:c>
      <x:c r="D237" s="25" t="str">
        <x:v>• HRD Corp Levy: Funding employee training, upskilling, and professional development.</x:v>
      </x:c>
      <x:c r="E237" s="27" t="str"/>
      <x:c r="F237" s="25" t="str">
        <x:f>IF(E237="","Missing",IF(TRIM(E237)=TRIM(D237),"Review: same as English","Translated"))</x:f>
        <x:v>Missing</x:v>
      </x:c>
      <x:c r="G237" s="27" t="str"/>
      <x:c r="H237" s="25" t="str">
        <x:f>IF(G237="","Missing",IF(TRIM(G237)=TRIM(D237),"Review: same as English","Translated"))</x:f>
        <x:v>Missing</x:v>
      </x:c>
      <x:c r="I237" s="27" t="str">
        <x:v>No Malay or Chinese module currently exists in the application.</x:v>
      </x:c>
    </x:row>
    <x:row r="238" ht="34" customHeight="1">
      <x:c r="A238" s="25" t="n">
        <x:v>7</x:v>
      </x:c>
      <x:c r="B238" s="25" t="str">
        <x:v>content.subsections[1].paragraphs[2]</x:v>
      </x:c>
      <x:c r="C238" s="25" t="str">
        <x:v>Module 7 subsection 2 paragraph 3</x:v>
      </x:c>
      <x:c r="D238" s="25" t="str">
        <x:v>• Monthly Tax Deduction (PCB): Advance salary deduction remitted to LHDN towards annual income tax.</x:v>
      </x:c>
      <x:c r="E238" s="27" t="str"/>
      <x:c r="F238" s="25" t="str">
        <x:f>IF(E238="","Missing",IF(TRIM(E238)=TRIM(D238),"Review: same as English","Translated"))</x:f>
        <x:v>Missing</x:v>
      </x:c>
      <x:c r="G238" s="27" t="str"/>
      <x:c r="H238" s="25" t="str">
        <x:f>IF(G238="","Missing",IF(TRIM(G238)=TRIM(D238),"Review: same as English","Translated"))</x:f>
        <x:v>Missing</x:v>
      </x:c>
      <x:c r="I238" s="27" t="str">
        <x:v>No Malay or Chinese module currently exists in the application.</x:v>
      </x:c>
    </x:row>
    <x:row r="239" ht="34" customHeight="1">
      <x:c r="A239" s="25" t="n">
        <x:v>7</x:v>
      </x:c>
      <x:c r="B239" s="25" t="str">
        <x:v>content.subsections[1].paragraphs[3]</x:v>
      </x:c>
      <x:c r="C239" s="25" t="str">
        <x:v>Module 7 subsection 2 paragraph 4</x:v>
      </x:c>
      <x:c r="D239" s="25" t="str">
        <x:v>• Income Tax Filing (LHDN): Employees are personally responsible for filing annual tax returns with LHDN within prescribed deadlines.</x:v>
      </x:c>
      <x:c r="E239" s="27" t="str"/>
      <x:c r="F239" s="25" t="str">
        <x:f>IF(E239="","Missing",IF(TRIM(E239)=TRIM(D239),"Review: same as English","Translated"))</x:f>
        <x:v>Missing</x:v>
      </x:c>
      <x:c r="G239" s="27" t="str"/>
      <x:c r="H239" s="25" t="str">
        <x:f>IF(G239="","Missing",IF(TRIM(G239)=TRIM(D239),"Review: same as English","Translated"))</x:f>
        <x:v>Missing</x:v>
      </x:c>
      <x:c r="I239" s="27" t="str">
        <x:v>No Malay or Chinese module currently exists in the application.</x:v>
      </x:c>
    </x:row>
    <x:row r="240" ht="20" customHeight="1">
      <x:c r="A240" s="25" t="n">
        <x:v>7</x:v>
      </x:c>
      <x:c r="B240" s="25" t="str">
        <x:v>content.subsections[2].title</x:v>
      </x:c>
      <x:c r="C240" s="25" t="str">
        <x:v>Module 7 subsection 3 title</x:v>
      </x:c>
      <x:c r="D240" s="25" t="str">
        <x:v>3. STATUTORY RESPONSIBILITIES OF EMPLOYEES</x:v>
      </x:c>
      <x:c r="E240" s="27" t="str"/>
      <x:c r="F240" s="25" t="str">
        <x:f>IF(E240="","Missing",IF(TRIM(E240)=TRIM(D240),"Review: same as English","Translated"))</x:f>
        <x:v>Missing</x:v>
      </x:c>
      <x:c r="G240" s="27" t="str"/>
      <x:c r="H240" s="25" t="str">
        <x:f>IF(G240="","Missing",IF(TRIM(G240)=TRIM(D240),"Review: same as English","Translated"))</x:f>
        <x:v>Missing</x:v>
      </x:c>
      <x:c r="I240" s="27" t="str">
        <x:v>No Malay or Chinese module currently exists in the application.</x:v>
      </x:c>
    </x:row>
    <x:row r="241" ht="48" customHeight="1">
      <x:c r="A241" s="25" t="n">
        <x:v>7</x:v>
      </x:c>
      <x:c r="B241" s="25" t="str">
        <x:v>content.subsections[2].paragraphs[0]</x:v>
      </x:c>
      <x:c r="C241" s="25" t="str">
        <x:v>Module 7 subsection 3 paragraph 1</x:v>
      </x:c>
      <x:c r="D241" s="25" t="str">
        <x:v>Employees must provide accurate NRIC/Passport, address, TIN, EPF, SOCSO, and bank details, and notify HR of changes within seven (7) calendar days.</x:v>
      </x:c>
      <x:c r="E241" s="27" t="str"/>
      <x:c r="F241" s="25" t="str">
        <x:f>IF(E241="","Missing",IF(TRIM(E241)=TRIM(D241),"Review: same as English","Translated"))</x:f>
        <x:v>Missing</x:v>
      </x:c>
      <x:c r="G241" s="27" t="str"/>
      <x:c r="H241" s="25" t="str">
        <x:f>IF(G241="","Missing",IF(TRIM(G241)=TRIM(D241),"Review: same as English","Translated"))</x:f>
        <x:v>Missing</x:v>
      </x:c>
      <x:c r="I241" s="27" t="str">
        <x:v>No Malay or Chinese module currently exists in the application.</x:v>
      </x:c>
    </x:row>
    <x:row r="242" ht="34" customHeight="1">
      <x:c r="A242" s="25" t="n">
        <x:v>7</x:v>
      </x:c>
      <x:c r="B242" s="25" t="str">
        <x:v>content.keyTakeaway</x:v>
      </x:c>
      <x:c r="C242" s="25" t="str">
        <x:v>Module 7 key takeaway</x:v>
      </x:c>
      <x:c r="D242" s="25" t="str">
        <x:v>Employees must maintain a valid Tax Identification Number (TIN) and update HR within 7 days of any personal status change.</x:v>
      </x:c>
      <x:c r="E242" s="27" t="str"/>
      <x:c r="F242" s="25" t="str">
        <x:f>IF(E242="","Missing",IF(TRIM(E242)=TRIM(D242),"Review: same as English","Translated"))</x:f>
        <x:v>Missing</x:v>
      </x:c>
      <x:c r="G242" s="27" t="str"/>
      <x:c r="H242" s="25" t="str">
        <x:f>IF(G242="","Missing",IF(TRIM(G242)=TRIM(D242),"Review: same as English","Translated"))</x:f>
        <x:v>Missing</x:v>
      </x:c>
      <x:c r="I242" s="27" t="str">
        <x:v>No Malay or Chinese module currently exists in the application.</x:v>
      </x:c>
    </x:row>
    <x:row r="243" ht="20" customHeight="1">
      <x:c r="A243" s="25" t="n">
        <x:v>8</x:v>
      </x:c>
      <x:c r="B243" s="25" t="str">
        <x:v>title</x:v>
      </x:c>
      <x:c r="C243" s="25" t="str">
        <x:v>Module 8 title</x:v>
      </x:c>
      <x:c r="D243" s="25" t="str">
        <x:v>Part 8 – Performance Management</x:v>
      </x:c>
      <x:c r="E243" s="27" t="str"/>
      <x:c r="F243" s="25" t="str">
        <x:f>IF(E243="","Missing",IF(TRIM(E243)=TRIM(D243),"Review: same as English","Translated"))</x:f>
        <x:v>Missing</x:v>
      </x:c>
      <x:c r="G243" s="27" t="str"/>
      <x:c r="H243" s="25" t="str">
        <x:f>IF(G243="","Missing",IF(TRIM(G243)=TRIM(D243),"Review: same as English","Translated"))</x:f>
        <x:v>Missing</x:v>
      </x:c>
      <x:c r="I243" s="27" t="str">
        <x:v>No Malay or Chinese module currently exists in the application.</x:v>
      </x:c>
    </x:row>
    <x:row r="244" ht="34" customHeight="1">
      <x:c r="A244" s="25" t="n">
        <x:v>8</x:v>
      </x:c>
      <x:c r="B244" s="25" t="str">
        <x:v>subtitle</x:v>
      </x:c>
      <x:c r="C244" s="25" t="str">
        <x:v>Module 8 subtitle</x:v>
      </x:c>
      <x:c r="D244" s="25" t="str">
        <x:v>Performance policy, KPI setting, performance appraisals, PIP process (30-90 days), coaching &amp; talent growth</x:v>
      </x:c>
      <x:c r="E244" s="27" t="str"/>
      <x:c r="F244" s="25" t="str">
        <x:f>IF(E244="","Missing",IF(TRIM(E244)=TRIM(D244),"Review: same as English","Translated"))</x:f>
        <x:v>Missing</x:v>
      </x:c>
      <x:c r="G244" s="27" t="str"/>
      <x:c r="H244" s="25" t="str">
        <x:f>IF(G244="","Missing",IF(TRIM(G244)=TRIM(D244),"Review: same as English","Translated"))</x:f>
        <x:v>Missing</x:v>
      </x:c>
      <x:c r="I244" s="27" t="str">
        <x:v>No Malay or Chinese module currently exists in the application.</x:v>
      </x:c>
    </x:row>
    <x:row r="245" ht="20" customHeight="1">
      <x:c r="A245" s="25" t="n">
        <x:v>8</x:v>
      </x:c>
      <x:c r="B245" s="25" t="str">
        <x:v>content.sectionTitle</x:v>
      </x:c>
      <x:c r="C245" s="25" t="str">
        <x:v>Module 8 section heading</x:v>
      </x:c>
      <x:c r="D245" s="25" t="str">
        <x:v>PART 8 – PERFORMANCE MANAGEMENT</x:v>
      </x:c>
      <x:c r="E245" s="27" t="str"/>
      <x:c r="F245" s="25" t="str">
        <x:f>IF(E245="","Missing",IF(TRIM(E245)=TRIM(D245),"Review: same as English","Translated"))</x:f>
        <x:v>Missing</x:v>
      </x:c>
      <x:c r="G245" s="27" t="str"/>
      <x:c r="H245" s="25" t="str">
        <x:f>IF(G245="","Missing",IF(TRIM(G245)=TRIM(D245),"Review: same as English","Translated"))</x:f>
        <x:v>Missing</x:v>
      </x:c>
      <x:c r="I245" s="27" t="str">
        <x:v>No Malay or Chinese module currently exists in the application.</x:v>
      </x:c>
    </x:row>
    <x:row r="246" ht="48" customHeight="1">
      <x:c r="A246" s="25" t="n">
        <x:v>8</x:v>
      </x:c>
      <x:c r="B246" s="25" t="str">
        <x:v>content.bodyParagraphs[0]</x:v>
      </x:c>
      <x:c r="C246" s="25" t="str">
        <x:v>Module 8 opening paragraph 1</x:v>
      </x:c>
      <x:c r="D246" s="25" t="str">
        <x:v>The Company adopts a performance-driven culture where employees are expected to demonstrate accountability, deliver quality results, and continuously improve.</x:v>
      </x:c>
      <x:c r="E246" s="27" t="str"/>
      <x:c r="F246" s="25" t="str">
        <x:f>IF(E246="","Missing",IF(TRIM(E246)=TRIM(D246),"Review: same as English","Translated"))</x:f>
        <x:v>Missing</x:v>
      </x:c>
      <x:c r="G246" s="27" t="str"/>
      <x:c r="H246" s="25" t="str">
        <x:f>IF(G246="","Missing",IF(TRIM(G246)=TRIM(D246),"Review: same as English","Translated"))</x:f>
        <x:v>Missing</x:v>
      </x:c>
      <x:c r="I246" s="27" t="str">
        <x:v>No Malay or Chinese module currently exists in the application.</x:v>
      </x:c>
    </x:row>
    <x:row r="247" ht="20" customHeight="1">
      <x:c r="A247" s="25" t="n">
        <x:v>8</x:v>
      </x:c>
      <x:c r="B247" s="25" t="str">
        <x:v>content.subsections[0].title</x:v>
      </x:c>
      <x:c r="C247" s="25" t="str">
        <x:v>Module 8 subsection 1 title</x:v>
      </x:c>
      <x:c r="D247" s="25" t="str">
        <x:v>1. KPI AND GOAL SETTING</x:v>
      </x:c>
      <x:c r="E247" s="27" t="str"/>
      <x:c r="F247" s="25" t="str">
        <x:f>IF(E247="","Missing",IF(TRIM(E247)=TRIM(D247),"Review: same as English","Translated"))</x:f>
        <x:v>Missing</x:v>
      </x:c>
      <x:c r="G247" s="27" t="str"/>
      <x:c r="H247" s="25" t="str">
        <x:f>IF(G247="","Missing",IF(TRIM(G247)=TRIM(D247),"Review: same as English","Translated"))</x:f>
        <x:v>Missing</x:v>
      </x:c>
      <x:c r="I247" s="27" t="str">
        <x:v>No Malay or Chinese module currently exists in the application.</x:v>
      </x:c>
    </x:row>
    <x:row r="248" ht="62" customHeight="1">
      <x:c r="A248" s="25" t="n">
        <x:v>8</x:v>
      </x:c>
      <x:c r="B248" s="25" t="str">
        <x:v>content.subsections[0].paragraphs[0]</x:v>
      </x:c>
      <x:c r="C248" s="25" t="str">
        <x:v>Module 8 subsection 1 paragraph 1</x:v>
      </x:c>
      <x:c r="D248" s="25" t="str">
        <x:v>KPI Categories: Business Performance (revenue, sales, campaigns), Operational Performance (productivity, timeliness, accuracy), Behavioural Performance (teamwork, communication, leadership), and Development Goals.</x:v>
      </x:c>
      <x:c r="E248" s="27" t="str"/>
      <x:c r="F248" s="25" t="str">
        <x:f>IF(E248="","Missing",IF(TRIM(E248)=TRIM(D248),"Review: same as English","Translated"))</x:f>
        <x:v>Missing</x:v>
      </x:c>
      <x:c r="G248" s="27" t="str"/>
      <x:c r="H248" s="25" t="str">
        <x:f>IF(G248="","Missing",IF(TRIM(G248)=TRIM(D248),"Review: same as English","Translated"))</x:f>
        <x:v>Missing</x:v>
      </x:c>
      <x:c r="I248" s="27" t="str">
        <x:v>No Malay or Chinese module currently exists in the application.</x:v>
      </x:c>
    </x:row>
    <x:row r="249" ht="34" customHeight="1">
      <x:c r="A249" s="25" t="n">
        <x:v>8</x:v>
      </x:c>
      <x:c r="B249" s="25" t="str">
        <x:v>content.subsections[0].paragraphs[1]</x:v>
      </x:c>
      <x:c r="C249" s="25" t="str">
        <x:v>Module 8 subsection 1 paragraph 2</x:v>
      </x:c>
      <x:c r="D249" s="25" t="str">
        <x:v>4-Step Goal Process: Goals established with Manager → Communicated and agreed → Monitored periodically → Evaluated.</x:v>
      </x:c>
      <x:c r="E249" s="27" t="str"/>
      <x:c r="F249" s="25" t="str">
        <x:f>IF(E249="","Missing",IF(TRIM(E249)=TRIM(D249),"Review: same as English","Translated"))</x:f>
        <x:v>Missing</x:v>
      </x:c>
      <x:c r="G249" s="27" t="str"/>
      <x:c r="H249" s="25" t="str">
        <x:f>IF(G249="","Missing",IF(TRIM(G249)=TRIM(D249),"Review: same as English","Translated"))</x:f>
        <x:v>Missing</x:v>
      </x:c>
      <x:c r="I249" s="27" t="str">
        <x:v>No Malay or Chinese module currently exists in the application.</x:v>
      </x:c>
    </x:row>
    <x:row r="250" ht="20" customHeight="1">
      <x:c r="A250" s="25" t="n">
        <x:v>8</x:v>
      </x:c>
      <x:c r="B250" s="25" t="str">
        <x:v>content.subsections[1].title</x:v>
      </x:c>
      <x:c r="C250" s="25" t="str">
        <x:v>Module 8 subsection 2 title</x:v>
      </x:c>
      <x:c r="D250" s="25" t="str">
        <x:v>2. PERFORMANCE APPRAISAL POLICY</x:v>
      </x:c>
      <x:c r="E250" s="27" t="str"/>
      <x:c r="F250" s="25" t="str">
        <x:f>IF(E250="","Missing",IF(TRIM(E250)=TRIM(D250),"Review: same as English","Translated"))</x:f>
        <x:v>Missing</x:v>
      </x:c>
      <x:c r="G250" s="27" t="str"/>
      <x:c r="H250" s="25" t="str">
        <x:f>IF(G250="","Missing",IF(TRIM(G250)=TRIM(D250),"Review: same as English","Translated"))</x:f>
        <x:v>Missing</x:v>
      </x:c>
      <x:c r="I250" s="27" t="str">
        <x:v>No Malay or Chinese module currently exists in the application.</x:v>
      </x:c>
    </x:row>
    <x:row r="251" ht="48" customHeight="1">
      <x:c r="A251" s="25" t="n">
        <x:v>8</x:v>
      </x:c>
      <x:c r="B251" s="25" t="str">
        <x:v>content.subsections[1].paragraphs[0]</x:v>
      </x:c>
      <x:c r="C251" s="25" t="str">
        <x:v>Module 8 subsection 2 paragraph 1</x:v>
      </x:c>
      <x:c r="D251" s="25" t="str">
        <x:v>Reviews conducted on Quarterly, Half-Yearly, or Annual basis evaluating Results, Competencies, Behaviour, Attendance/Discipline, and Leadership.</x:v>
      </x:c>
      <x:c r="E251" s="27" t="str"/>
      <x:c r="F251" s="25" t="str">
        <x:f>IF(E251="","Missing",IF(TRIM(E251)=TRIM(D251),"Review: same as English","Translated"))</x:f>
        <x:v>Missing</x:v>
      </x:c>
      <x:c r="G251" s="27" t="str"/>
      <x:c r="H251" s="25" t="str">
        <x:f>IF(G251="","Missing",IF(TRIM(G251)=TRIM(D251),"Review: same as English","Translated"))</x:f>
        <x:v>Missing</x:v>
      </x:c>
      <x:c r="I251" s="27" t="str">
        <x:v>No Malay or Chinese module currently exists in the application.</x:v>
      </x:c>
    </x:row>
    <x:row r="252" ht="34" customHeight="1">
      <x:c r="A252" s="25" t="n">
        <x:v>8</x:v>
      </x:c>
      <x:c r="B252" s="25" t="str">
        <x:v>content.subsections[1].paragraphs[1]</x:v>
      </x:c>
      <x:c r="C252" s="25" t="str">
        <x:v>Module 8 subsection 2 paragraph 2</x:v>
      </x:c>
      <x:c r="D252" s="25" t="str">
        <x:v>Appraisal outcomes inform salary increments, bonuses, promotions, development, and succession planning.</x:v>
      </x:c>
      <x:c r="E252" s="27" t="str"/>
      <x:c r="F252" s="25" t="str">
        <x:f>IF(E252="","Missing",IF(TRIM(E252)=TRIM(D252),"Review: same as English","Translated"))</x:f>
        <x:v>Missing</x:v>
      </x:c>
      <x:c r="G252" s="27" t="str"/>
      <x:c r="H252" s="25" t="str">
        <x:f>IF(G252="","Missing",IF(TRIM(G252)=TRIM(D252),"Review: same as English","Translated"))</x:f>
        <x:v>Missing</x:v>
      </x:c>
      <x:c r="I252" s="27" t="str">
        <x:v>No Malay or Chinese module currently exists in the application.</x:v>
      </x:c>
    </x:row>
    <x:row r="253" ht="20" customHeight="1">
      <x:c r="A253" s="25" t="n">
        <x:v>8</x:v>
      </x:c>
      <x:c r="B253" s="25" t="str">
        <x:v>content.subsections[2].title</x:v>
      </x:c>
      <x:c r="C253" s="25" t="str">
        <x:v>Module 8 subsection 3 title</x:v>
      </x:c>
      <x:c r="D253" s="25" t="str">
        <x:v>3. PERFORMANCE IMPROVEMENT PLAN (PIP)</x:v>
      </x:c>
      <x:c r="E253" s="27" t="str"/>
      <x:c r="F253" s="25" t="str">
        <x:f>IF(E253="","Missing",IF(TRIM(E253)=TRIM(D253),"Review: same as English","Translated"))</x:f>
        <x:v>Missing</x:v>
      </x:c>
      <x:c r="G253" s="27" t="str"/>
      <x:c r="H253" s="25" t="str">
        <x:f>IF(G253="","Missing",IF(TRIM(G253)=TRIM(D253),"Review: same as English","Translated"))</x:f>
        <x:v>Missing</x:v>
      </x:c>
      <x:c r="I253" s="27" t="str">
        <x:v>No Malay or Chinese module currently exists in the application.</x:v>
      </x:c>
    </x:row>
    <x:row r="254" ht="20" customHeight="1">
      <x:c r="A254" s="25" t="n">
        <x:v>8</x:v>
      </x:c>
      <x:c r="B254" s="25" t="str">
        <x:v>content.subsections[2].paragraphs[0]</x:v>
      </x:c>
      <x:c r="C254" s="25" t="str">
        <x:v>Module 8 subsection 3 paragraph 1</x:v>
      </x:c>
      <x:c r="D254" s="25" t="str">
        <x:v>Duration: 30, 60, or 90 days.</x:v>
      </x:c>
      <x:c r="E254" s="27" t="str"/>
      <x:c r="F254" s="25" t="str">
        <x:f>IF(E254="","Missing",IF(TRIM(E254)=TRIM(D254),"Review: same as English","Translated"))</x:f>
        <x:v>Missing</x:v>
      </x:c>
      <x:c r="G254" s="27" t="str"/>
      <x:c r="H254" s="25" t="str">
        <x:f>IF(G254="","Missing",IF(TRIM(G254)=TRIM(D254),"Review: same as English","Translated"))</x:f>
        <x:v>Missing</x:v>
      </x:c>
      <x:c r="I254" s="27" t="str">
        <x:v>No Malay or Chinese module currently exists in the application.</x:v>
      </x:c>
    </x:row>
    <x:row r="255" ht="34" customHeight="1">
      <x:c r="A255" s="25" t="n">
        <x:v>8</x:v>
      </x:c>
      <x:c r="B255" s="25" t="str">
        <x:v>content.subsections[2].paragraphs[1]</x:v>
      </x:c>
      <x:c r="C255" s="25" t="str">
        <x:v>Module 8 subsection 3 paragraph 2</x:v>
      </x:c>
      <x:c r="D255" s="25" t="str">
        <x:v>PIP Outcomes: Outcome A (Successful completion), Outcome B (Extension of PIP), Outcome C (Further disciplinary action up to termination).</x:v>
      </x:c>
      <x:c r="E255" s="27" t="str"/>
      <x:c r="F255" s="25" t="str">
        <x:f>IF(E255="","Missing",IF(TRIM(E255)=TRIM(D255),"Review: same as English","Translated"))</x:f>
        <x:v>Missing</x:v>
      </x:c>
      <x:c r="G255" s="27" t="str"/>
      <x:c r="H255" s="25" t="str">
        <x:f>IF(G255="","Missing",IF(TRIM(G255)=TRIM(D255),"Review: same as English","Translated"))</x:f>
        <x:v>Missing</x:v>
      </x:c>
      <x:c r="I255" s="27" t="str">
        <x:v>No Malay or Chinese module currently exists in the application.</x:v>
      </x:c>
    </x:row>
    <x:row r="256" ht="20" customHeight="1">
      <x:c r="A256" s="25" t="n">
        <x:v>8</x:v>
      </x:c>
      <x:c r="B256" s="25" t="str">
        <x:v>content.subsections[3].title</x:v>
      </x:c>
      <x:c r="C256" s="25" t="str">
        <x:v>Module 8 subsection 4 title</x:v>
      </x:c>
      <x:c r="D256" s="25" t="str">
        <x:v>4. COACHING, COUNSELLING &amp; CAREER DEVELOPMENT</x:v>
      </x:c>
      <x:c r="E256" s="27" t="str"/>
      <x:c r="F256" s="25" t="str">
        <x:f>IF(E256="","Missing",IF(TRIM(E256)=TRIM(D256),"Review: same as English","Translated"))</x:f>
        <x:v>Missing</x:v>
      </x:c>
      <x:c r="G256" s="27" t="str"/>
      <x:c r="H256" s="25" t="str">
        <x:f>IF(G256="","Missing",IF(TRIM(G256)=TRIM(D256),"Review: same as English","Translated"))</x:f>
        <x:v>Missing</x:v>
      </x:c>
      <x:c r="I256" s="27" t="str">
        <x:v>No Malay or Chinese module currently exists in the application.</x:v>
      </x:c>
    </x:row>
    <x:row r="257" ht="48" customHeight="1">
      <x:c r="A257" s="25" t="n">
        <x:v>8</x:v>
      </x:c>
      <x:c r="B257" s="25" t="str">
        <x:v>content.subsections[3].paragraphs[0]</x:v>
      </x:c>
      <x:c r="C257" s="25" t="str">
        <x:v>Module 8 subsection 4 paragraph 1</x:v>
      </x:c>
      <x:c r="D257" s="25" t="str">
        <x:v>Supervisors provide regular coaching and counselling. Career development and talent management initiatives build leadership pipelines and long-term organizational growth.</x:v>
      </x:c>
      <x:c r="E257" s="27" t="str"/>
      <x:c r="F257" s="25" t="str">
        <x:f>IF(E257="","Missing",IF(TRIM(E257)=TRIM(D257),"Review: same as English","Translated"))</x:f>
        <x:v>Missing</x:v>
      </x:c>
      <x:c r="G257" s="27" t="str"/>
      <x:c r="H257" s="25" t="str">
        <x:f>IF(G257="","Missing",IF(TRIM(G257)=TRIM(D257),"Review: same as English","Translated"))</x:f>
        <x:v>Missing</x:v>
      </x:c>
      <x:c r="I257" s="27" t="str">
        <x:v>No Malay or Chinese module currently exists in the application.</x:v>
      </x:c>
    </x:row>
    <x:row r="258" ht="34" customHeight="1">
      <x:c r="A258" s="25" t="n">
        <x:v>8</x:v>
      </x:c>
      <x:c r="B258" s="25" t="str">
        <x:v>content.keyTakeaway</x:v>
      </x:c>
      <x:c r="C258" s="25" t="str">
        <x:v>Module 8 key takeaway</x:v>
      </x:c>
      <x:c r="D258" s="25" t="str">
        <x:v>Performance Improvement Plans (PIP) run for 30, 60, or 90 days to support employees with performance gaps.</x:v>
      </x:c>
      <x:c r="E258" s="27" t="str"/>
      <x:c r="F258" s="25" t="str">
        <x:f>IF(E258="","Missing",IF(TRIM(E258)=TRIM(D258),"Review: same as English","Translated"))</x:f>
        <x:v>Missing</x:v>
      </x:c>
      <x:c r="G258" s="27" t="str"/>
      <x:c r="H258" s="25" t="str">
        <x:f>IF(G258="","Missing",IF(TRIM(G258)=TRIM(D258),"Review: same as English","Translated"))</x:f>
        <x:v>Missing</x:v>
      </x:c>
      <x:c r="I258" s="27" t="str">
        <x:v>No Malay or Chinese module currently exists in the application.</x:v>
      </x:c>
    </x:row>
    <x:row r="259" ht="20" customHeight="1">
      <x:c r="A259" s="25" t="n">
        <x:v>9</x:v>
      </x:c>
      <x:c r="B259" s="25" t="str">
        <x:v>title</x:v>
      </x:c>
      <x:c r="C259" s="25" t="str">
        <x:v>Module 9 title</x:v>
      </x:c>
      <x:c r="D259" s="25" t="str">
        <x:v>Part 9 – Code of Conduct &amp; Ethics</x:v>
      </x:c>
      <x:c r="E259" s="27" t="str"/>
      <x:c r="F259" s="25" t="str">
        <x:f>IF(E259="","Missing",IF(TRIM(E259)=TRIM(D259),"Review: same as English","Translated"))</x:f>
        <x:v>Missing</x:v>
      </x:c>
      <x:c r="G259" s="27" t="str"/>
      <x:c r="H259" s="25" t="str">
        <x:f>IF(G259="","Missing",IF(TRIM(G259)=TRIM(D259),"Review: same as English","Translated"))</x:f>
        <x:v>Missing</x:v>
      </x:c>
      <x:c r="I259" s="27" t="str">
        <x:v>No Malay or Chinese module currently exists in the application.</x:v>
      </x:c>
    </x:row>
    <x:row r="260" ht="34" customHeight="1">
      <x:c r="A260" s="25" t="n">
        <x:v>9</x:v>
      </x:c>
      <x:c r="B260" s="25" t="str">
        <x:v>subtitle</x:v>
      </x:c>
      <x:c r="C260" s="25" t="str">
        <x:v>Module 9 subtitle</x:v>
      </x:c>
      <x:c r="D260" s="25" t="str">
        <x:v>Professional conduct, dress code guidelines, anti-harassment, anti-bribery, whistleblowing &amp; outside employment</x:v>
      </x:c>
      <x:c r="E260" s="27" t="str"/>
      <x:c r="F260" s="25" t="str">
        <x:f>IF(E260="","Missing",IF(TRIM(E260)=TRIM(D260),"Review: same as English","Translated"))</x:f>
        <x:v>Missing</x:v>
      </x:c>
      <x:c r="G260" s="27" t="str"/>
      <x:c r="H260" s="25" t="str">
        <x:f>IF(G260="","Missing",IF(TRIM(G260)=TRIM(D260),"Review: same as English","Translated"))</x:f>
        <x:v>Missing</x:v>
      </x:c>
      <x:c r="I260" s="27" t="str">
        <x:v>No Malay or Chinese module currently exists in the application.</x:v>
      </x:c>
    </x:row>
    <x:row r="261" ht="20" customHeight="1">
      <x:c r="A261" s="25" t="n">
        <x:v>9</x:v>
      </x:c>
      <x:c r="B261" s="25" t="str">
        <x:v>content.sectionTitle</x:v>
      </x:c>
      <x:c r="C261" s="25" t="str">
        <x:v>Module 9 section heading</x:v>
      </x:c>
      <x:c r="D261" s="25" t="str">
        <x:v>PART 9 – CODE OF CONDUCT &amp; ETHICS</x:v>
      </x:c>
      <x:c r="E261" s="27" t="str"/>
      <x:c r="F261" s="25" t="str">
        <x:f>IF(E261="","Missing",IF(TRIM(E261)=TRIM(D261),"Review: same as English","Translated"))</x:f>
        <x:v>Missing</x:v>
      </x:c>
      <x:c r="G261" s="27" t="str"/>
      <x:c r="H261" s="25" t="str">
        <x:f>IF(G261="","Missing",IF(TRIM(G261)=TRIM(D261),"Review: same as English","Translated"))</x:f>
        <x:v>Missing</x:v>
      </x:c>
      <x:c r="I261" s="27" t="str">
        <x:v>No Malay or Chinese module currently exists in the application.</x:v>
      </x:c>
    </x:row>
    <x:row r="262" ht="48" customHeight="1">
      <x:c r="A262" s="25" t="n">
        <x:v>9</x:v>
      </x:c>
      <x:c r="B262" s="25" t="str">
        <x:v>content.bodyParagraphs[0]</x:v>
      </x:c>
      <x:c r="C262" s="25" t="str">
        <x:v>Module 9 opening paragraph 1</x:v>
      </x:c>
      <x:c r="D262" s="25" t="str">
        <x:v>RedPoint Sdn Bhd is committed to maintaining a professional, respectful, ethical, and inclusive working environment. All employees must act with integrity and protect company reputation.</x:v>
      </x:c>
      <x:c r="E262" s="27" t="str"/>
      <x:c r="F262" s="25" t="str">
        <x:f>IF(E262="","Missing",IF(TRIM(E262)=TRIM(D262),"Review: same as English","Translated"))</x:f>
        <x:v>Missing</x:v>
      </x:c>
      <x:c r="G262" s="27" t="str"/>
      <x:c r="H262" s="25" t="str">
        <x:f>IF(G262="","Missing",IF(TRIM(G262)=TRIM(D262),"Review: same as English","Translated"))</x:f>
        <x:v>Missing</x:v>
      </x:c>
      <x:c r="I262" s="27" t="str">
        <x:v>No Malay or Chinese module currently exists in the application.</x:v>
      </x:c>
    </x:row>
    <x:row r="263" ht="20" customHeight="1">
      <x:c r="A263" s="25" t="n">
        <x:v>9</x:v>
      </x:c>
      <x:c r="B263" s="25" t="str">
        <x:v>content.subsections[0].title</x:v>
      </x:c>
      <x:c r="C263" s="25" t="str">
        <x:v>Module 9 subsection 1 title</x:v>
      </x:c>
      <x:c r="D263" s="25" t="str">
        <x:v>1. CODE OF CONDUCT &amp; PROFESSIONAL BEHAVIOUR</x:v>
      </x:c>
      <x:c r="E263" s="27" t="str"/>
      <x:c r="F263" s="25" t="str">
        <x:f>IF(E263="","Missing",IF(TRIM(E263)=TRIM(D263),"Review: same as English","Translated"))</x:f>
        <x:v>Missing</x:v>
      </x:c>
      <x:c r="G263" s="27" t="str"/>
      <x:c r="H263" s="25" t="str">
        <x:f>IF(G263="","Missing",IF(TRIM(G263)=TRIM(D263),"Review: same as English","Translated"))</x:f>
        <x:v>Missing</x:v>
      </x:c>
      <x:c r="I263" s="27" t="str">
        <x:v>No Malay or Chinese module currently exists in the application.</x:v>
      </x:c>
    </x:row>
    <x:row r="264" ht="48" customHeight="1">
      <x:c r="A264" s="25" t="n">
        <x:v>9</x:v>
      </x:c>
      <x:c r="B264" s="25" t="str">
        <x:v>content.subsections[0].paragraphs[0]</x:v>
      </x:c>
      <x:c r="C264" s="25" t="str">
        <x:v>Module 9 subsection 1 paragraph 1</x:v>
      </x:c>
      <x:c r="D264" s="25" t="str">
        <x:v>Employees must act honestly, ethically, professionally, and respectfully. Insubordination, dishonesty, abusive language, and disruptive conduct are unacceptable.</x:v>
      </x:c>
      <x:c r="E264" s="27" t="str"/>
      <x:c r="F264" s="25" t="str">
        <x:f>IF(E264="","Missing",IF(TRIM(E264)=TRIM(D264),"Review: same as English","Translated"))</x:f>
        <x:v>Missing</x:v>
      </x:c>
      <x:c r="G264" s="27" t="str"/>
      <x:c r="H264" s="25" t="str">
        <x:f>IF(G264="","Missing",IF(TRIM(G264)=TRIM(D264),"Review: same as English","Translated"))</x:f>
        <x:v>Missing</x:v>
      </x:c>
      <x:c r="I264" s="27" t="str">
        <x:v>No Malay or Chinese module currently exists in the application.</x:v>
      </x:c>
    </x:row>
    <x:row r="265" ht="20" customHeight="1">
      <x:c r="A265" s="25" t="n">
        <x:v>9</x:v>
      </x:c>
      <x:c r="B265" s="25" t="str">
        <x:v>content.subsections[1].title</x:v>
      </x:c>
      <x:c r="C265" s="25" t="str">
        <x:v>Module 9 subsection 2 title</x:v>
      </x:c>
      <x:c r="D265" s="25" t="str">
        <x:v>2. DRESS CODE POLICY BY WORK SITUATION</x:v>
      </x:c>
      <x:c r="E265" s="27" t="str"/>
      <x:c r="F265" s="25" t="str">
        <x:f>IF(E265="","Missing",IF(TRIM(E265)=TRIM(D265),"Review: same as English","Translated"))</x:f>
        <x:v>Missing</x:v>
      </x:c>
      <x:c r="G265" s="27" t="str"/>
      <x:c r="H265" s="25" t="str">
        <x:f>IF(G265="","Missing",IF(TRIM(G265)=TRIM(D265),"Review: same as English","Translated"))</x:f>
        <x:v>Missing</x:v>
      </x:c>
      <x:c r="I265" s="27" t="str">
        <x:v>No Malay or Chinese module currently exists in the application.</x:v>
      </x:c>
    </x:row>
    <x:row r="266" ht="34" customHeight="1">
      <x:c r="A266" s="25" t="n">
        <x:v>9</x:v>
      </x:c>
      <x:c r="B266" s="25" t="str">
        <x:v>content.subsections[1].paragraphs[0]</x:v>
      </x:c>
      <x:c r="C266" s="25" t="str">
        <x:v>Module 9 subsection 2 paragraph 1</x:v>
      </x:c>
      <x:c r="D266" s="25" t="str">
        <x:v>• Daily Office Wear: Smart casual (polos, blouses, chino pants, dark jeans without rips, clean sneakers/loafers).</x:v>
      </x:c>
      <x:c r="E266" s="27" t="str"/>
      <x:c r="F266" s="25" t="str">
        <x:f>IF(E266="","Missing",IF(TRIM(E266)=TRIM(D266),"Review: same as English","Translated"))</x:f>
        <x:v>Missing</x:v>
      </x:c>
      <x:c r="G266" s="27" t="str"/>
      <x:c r="H266" s="25" t="str">
        <x:f>IF(G266="","Missing",IF(TRIM(G266)=TRIM(D266),"Review: same as English","Translated"))</x:f>
        <x:v>Missing</x:v>
      </x:c>
      <x:c r="I266" s="27" t="str">
        <x:v>No Malay or Chinese module currently exists in the application.</x:v>
      </x:c>
    </x:row>
    <x:row r="267" ht="34" customHeight="1">
      <x:c r="A267" s="25" t="n">
        <x:v>9</x:v>
      </x:c>
      <x:c r="B267" s="25" t="str">
        <x:v>content.subsections[1].paragraphs[1]</x:v>
      </x:c>
      <x:c r="C267" s="25" t="str">
        <x:v>Module 9 subsection 2 paragraph 2</x:v>
      </x:c>
      <x:c r="D267" s="25" t="str">
        <x:v>• Client Meetings: Business casual or business professional (shirts, blazers, formal trousers/skirts, closed-toe shoes).</x:v>
      </x:c>
      <x:c r="E267" s="27" t="str"/>
      <x:c r="F267" s="25" t="str">
        <x:f>IF(E267="","Missing",IF(TRIM(E267)=TRIM(D267),"Review: same as English","Translated"))</x:f>
        <x:v>Missing</x:v>
      </x:c>
      <x:c r="G267" s="27" t="str"/>
      <x:c r="H267" s="25" t="str">
        <x:f>IF(G267="","Missing",IF(TRIM(G267)=TRIM(D267),"Review: same as English","Translated"))</x:f>
        <x:v>Missing</x:v>
      </x:c>
      <x:c r="I267" s="27" t="str">
        <x:v>No Malay or Chinese module currently exists in the application.</x:v>
      </x:c>
    </x:row>
    <x:row r="268" ht="34" customHeight="1">
      <x:c r="A268" s="25" t="n">
        <x:v>9</x:v>
      </x:c>
      <x:c r="B268" s="25" t="str">
        <x:v>content.subsections[1].paragraphs[2]</x:v>
      </x:c>
      <x:c r="C268" s="25" t="str">
        <x:v>Module 9 subsection 2 paragraph 3</x:v>
      </x:c>
      <x:c r="D268" s="25" t="str">
        <x:v>• Corporate Events: Full business professional attire (suits, ties, formal corporate wear).</x:v>
      </x:c>
      <x:c r="E268" s="27" t="str"/>
      <x:c r="F268" s="25" t="str">
        <x:f>IF(E268="","Missing",IF(TRIM(E268)=TRIM(D268),"Review: same as English","Translated"))</x:f>
        <x:v>Missing</x:v>
      </x:c>
      <x:c r="G268" s="27" t="str"/>
      <x:c r="H268" s="25" t="str">
        <x:f>IF(G268="","Missing",IF(TRIM(G268)=TRIM(D268),"Review: same as English","Translated"))</x:f>
        <x:v>Missing</x:v>
      </x:c>
      <x:c r="I268" s="27" t="str">
        <x:v>No Malay or Chinese module currently exists in the application.</x:v>
      </x:c>
    </x:row>
    <x:row r="269" ht="34" customHeight="1">
      <x:c r="A269" s="25" t="n">
        <x:v>9</x:v>
      </x:c>
      <x:c r="B269" s="25" t="str">
        <x:v>content.subsections[1].paragraphs[3]</x:v>
      </x:c>
      <x:c r="C269" s="25" t="str">
        <x:v>Module 9 subsection 2 paragraph 4</x:v>
      </x:c>
      <x:c r="D269" s="25" t="str">
        <x:v>• Content Shooting &amp; Field Work: Casual or branded apparel (Company T-shirt, jeans, sports shoes).</x:v>
      </x:c>
      <x:c r="E269" s="27" t="str"/>
      <x:c r="F269" s="25" t="str">
        <x:f>IF(E269="","Missing",IF(TRIM(E269)=TRIM(D269),"Review: same as English","Translated"))</x:f>
        <x:v>Missing</x:v>
      </x:c>
      <x:c r="G269" s="27" t="str"/>
      <x:c r="H269" s="25" t="str">
        <x:f>IF(G269="","Missing",IF(TRIM(G269)=TRIM(D269),"Review: same as English","Translated"))</x:f>
        <x:v>Missing</x:v>
      </x:c>
      <x:c r="I269" s="27" t="str">
        <x:v>No Malay or Chinese module currently exists in the application.</x:v>
      </x:c>
    </x:row>
    <x:row r="270" ht="48" customHeight="1">
      <x:c r="A270" s="25" t="n">
        <x:v>9</x:v>
      </x:c>
      <x:c r="B270" s="25" t="str">
        <x:v>content.subsections[1].paragraphs[4]</x:v>
      </x:c>
      <x:c r="C270" s="25" t="str">
        <x:v>Module 9 subsection 2 paragraph 5</x:v>
      </x:c>
      <x:c r="D270" s="25" t="str">
        <x:v>Unacceptable Attire: Ripped/torn clothing, slippers/flip-flops, sleepwear, beachwear, offensive graphic shirts, or excessively revealing clothes.</x:v>
      </x:c>
      <x:c r="E270" s="27" t="str"/>
      <x:c r="F270" s="25" t="str">
        <x:f>IF(E270="","Missing",IF(TRIM(E270)=TRIM(D270),"Review: same as English","Translated"))</x:f>
        <x:v>Missing</x:v>
      </x:c>
      <x:c r="G270" s="27" t="str"/>
      <x:c r="H270" s="25" t="str">
        <x:f>IF(G270="","Missing",IF(TRIM(G270)=TRIM(D270),"Review: same as English","Translated"))</x:f>
        <x:v>Missing</x:v>
      </x:c>
      <x:c r="I270" s="27" t="str">
        <x:v>No Malay or Chinese module currently exists in the application.</x:v>
      </x:c>
    </x:row>
    <x:row r="271" ht="20" customHeight="1">
      <x:c r="A271" s="25" t="n">
        <x:v>9</x:v>
      </x:c>
      <x:c r="B271" s="25" t="str">
        <x:v>content.subsections[2].title</x:v>
      </x:c>
      <x:c r="C271" s="25" t="str">
        <x:v>Module 9 subsection 3 title</x:v>
      </x:c>
      <x:c r="D271" s="25" t="str">
        <x:v>3. HARASSMENT, BULLYING &amp; DISCRIMINATION POLICIES</x:v>
      </x:c>
      <x:c r="E271" s="27" t="str"/>
      <x:c r="F271" s="25" t="str">
        <x:f>IF(E271="","Missing",IF(TRIM(E271)=TRIM(D271),"Review: same as English","Translated"))</x:f>
        <x:v>Missing</x:v>
      </x:c>
      <x:c r="G271" s="27" t="str"/>
      <x:c r="H271" s="25" t="str">
        <x:f>IF(G271="","Missing",IF(TRIM(G271)=TRIM(D271),"Review: same as English","Translated"))</x:f>
        <x:v>Missing</x:v>
      </x:c>
      <x:c r="I271" s="27" t="str">
        <x:v>No Malay or Chinese module currently exists in the application.</x:v>
      </x:c>
    </x:row>
    <x:row r="272" ht="48" customHeight="1">
      <x:c r="A272" s="25" t="n">
        <x:v>9</x:v>
      </x:c>
      <x:c r="B272" s="25" t="str">
        <x:v>content.subsections[2].paragraphs[0]</x:v>
      </x:c>
      <x:c r="C272" s="25" t="str">
        <x:v>Module 9 subsection 3 paragraph 1</x:v>
      </x:c>
      <x:c r="D272" s="25" t="str">
        <x:v>Zero tolerance for workplace harassment, sexual harassment, bullying, discrimination, and physical violence. Violations lead to immediate disciplinary investigation and dismissal.</x:v>
      </x:c>
      <x:c r="E272" s="27" t="str"/>
      <x:c r="F272" s="25" t="str">
        <x:f>IF(E272="","Missing",IF(TRIM(E272)=TRIM(D272),"Review: same as English","Translated"))</x:f>
        <x:v>Missing</x:v>
      </x:c>
      <x:c r="G272" s="27" t="str"/>
      <x:c r="H272" s="25" t="str">
        <x:f>IF(G272="","Missing",IF(TRIM(G272)=TRIM(D272),"Review: same as English","Translated"))</x:f>
        <x:v>Missing</x:v>
      </x:c>
      <x:c r="I272" s="27" t="str">
        <x:v>No Malay or Chinese module currently exists in the application.</x:v>
      </x:c>
    </x:row>
    <x:row r="273" ht="20" customHeight="1">
      <x:c r="A273" s="25" t="n">
        <x:v>9</x:v>
      </x:c>
      <x:c r="B273" s="25" t="str">
        <x:v>content.subsections[3].title</x:v>
      </x:c>
      <x:c r="C273" s="25" t="str">
        <x:v>Module 9 subsection 4 title</x:v>
      </x:c>
      <x:c r="D273" s="25" t="str">
        <x:v>4. GIFTS, ANTI-BRIBERY &amp; WHISTLEBLOWING</x:v>
      </x:c>
      <x:c r="E273" s="27" t="str"/>
      <x:c r="F273" s="25" t="str">
        <x:f>IF(E273="","Missing",IF(TRIM(E273)=TRIM(D273),"Review: same as English","Translated"))</x:f>
        <x:v>Missing</x:v>
      </x:c>
      <x:c r="G273" s="27" t="str"/>
      <x:c r="H273" s="25" t="str">
        <x:f>IF(G273="","Missing",IF(TRIM(G273)=TRIM(D273),"Review: same as English","Translated"))</x:f>
        <x:v>Missing</x:v>
      </x:c>
      <x:c r="I273" s="27" t="str">
        <x:v>No Malay or Chinese module currently exists in the application.</x:v>
      </x:c>
    </x:row>
    <x:row r="274" ht="34" customHeight="1">
      <x:c r="A274" s="25" t="n">
        <x:v>9</x:v>
      </x:c>
      <x:c r="B274" s="25" t="str">
        <x:v>content.subsections[3].paragraphs[0]</x:v>
      </x:c>
      <x:c r="C274" s="25" t="str">
        <x:v>Module 9 subsection 4 paragraph 1</x:v>
      </x:c>
      <x:c r="D274" s="25" t="str">
        <x:v>• Anti-Bribery: Strictly prohibited from offering or receiving bribes, kickbacks, or improper inducements.</x:v>
      </x:c>
      <x:c r="E274" s="27" t="str"/>
      <x:c r="F274" s="25" t="str">
        <x:f>IF(E274="","Missing",IF(TRIM(E274)=TRIM(D274),"Review: same as English","Translated"))</x:f>
        <x:v>Missing</x:v>
      </x:c>
      <x:c r="G274" s="27" t="str"/>
      <x:c r="H274" s="25" t="str">
        <x:f>IF(G274="","Missing",IF(TRIM(G274)=TRIM(D274),"Review: same as English","Translated"))</x:f>
        <x:v>Missing</x:v>
      </x:c>
      <x:c r="I274" s="27" t="str">
        <x:v>No Malay or Chinese module currently exists in the application.</x:v>
      </x:c>
    </x:row>
    <x:row r="275" ht="34" customHeight="1">
      <x:c r="A275" s="25" t="n">
        <x:v>9</x:v>
      </x:c>
      <x:c r="B275" s="25" t="str">
        <x:v>content.subsections[3].paragraphs[1]</x:v>
      </x:c>
      <x:c r="C275" s="25" t="str">
        <x:v>Module 9 subsection 4 paragraph 2</x:v>
      </x:c>
      <x:c r="D275" s="25" t="str">
        <x:v>• Gifts &amp; Hospitality: Soliciting gifts is prohibited. Modest gifts must comply with policy and be disclosed.</x:v>
      </x:c>
      <x:c r="E275" s="27" t="str"/>
      <x:c r="F275" s="25" t="str">
        <x:f>IF(E275="","Missing",IF(TRIM(E275)=TRIM(D275),"Review: same as English","Translated"))</x:f>
        <x:v>Missing</x:v>
      </x:c>
      <x:c r="G275" s="27" t="str"/>
      <x:c r="H275" s="25" t="str">
        <x:f>IF(G275="","Missing",IF(TRIM(G275)=TRIM(D275),"Review: same as English","Translated"))</x:f>
        <x:v>Missing</x:v>
      </x:c>
      <x:c r="I275" s="27" t="str">
        <x:v>No Malay or Chinese module currently exists in the application.</x:v>
      </x:c>
    </x:row>
    <x:row r="276" ht="48" customHeight="1">
      <x:c r="A276" s="25" t="n">
        <x:v>9</x:v>
      </x:c>
      <x:c r="B276" s="25" t="str">
        <x:v>content.subsections[3].paragraphs[2]</x:v>
      </x:c>
      <x:c r="C276" s="25" t="str">
        <x:v>Module 9 subsection 4 paragraph 3</x:v>
      </x:c>
      <x:c r="D276" s="25" t="str">
        <x:v>• Whistleblowing: Employees are encouraged to report fraud, corruption, or misconduct via designated confidential channels without fear of retaliation.</x:v>
      </x:c>
      <x:c r="E276" s="27" t="str"/>
      <x:c r="F276" s="25" t="str">
        <x:f>IF(E276="","Missing",IF(TRIM(E276)=TRIM(D276),"Review: same as English","Translated"))</x:f>
        <x:v>Missing</x:v>
      </x:c>
      <x:c r="G276" s="27" t="str"/>
      <x:c r="H276" s="25" t="str">
        <x:f>IF(G276="","Missing",IF(TRIM(G276)=TRIM(D276),"Review: same as English","Translated"))</x:f>
        <x:v>Missing</x:v>
      </x:c>
      <x:c r="I276" s="27" t="str">
        <x:v>No Malay or Chinese module currently exists in the application.</x:v>
      </x:c>
    </x:row>
    <x:row r="277" ht="34" customHeight="1">
      <x:c r="A277" s="25" t="n">
        <x:v>9</x:v>
      </x:c>
      <x:c r="B277" s="25" t="str">
        <x:v>content.subsections[3].paragraphs[3]</x:v>
      </x:c>
      <x:c r="C277" s="25" t="str">
        <x:v>Module 9 subsection 4 paragraph 4</x:v>
      </x:c>
      <x:c r="D277" s="25" t="str">
        <x:v>• Outside Employment: Freelance work or outside business requires prior written Management approval.</x:v>
      </x:c>
      <x:c r="E277" s="27" t="str"/>
      <x:c r="F277" s="25" t="str">
        <x:f>IF(E277="","Missing",IF(TRIM(E277)=TRIM(D277),"Review: same as English","Translated"))</x:f>
        <x:v>Missing</x:v>
      </x:c>
      <x:c r="G277" s="27" t="str"/>
      <x:c r="H277" s="25" t="str">
        <x:f>IF(G277="","Missing",IF(TRIM(G277)=TRIM(D277),"Review: same as English","Translated"))</x:f>
        <x:v>Missing</x:v>
      </x:c>
      <x:c r="I277" s="27" t="str">
        <x:v>No Malay or Chinese module currently exists in the application.</x:v>
      </x:c>
    </x:row>
    <x:row r="278" ht="34" customHeight="1">
      <x:c r="A278" s="25" t="n">
        <x:v>9</x:v>
      </x:c>
      <x:c r="B278" s="25" t="str">
        <x:v>content.keyTakeaway</x:v>
      </x:c>
      <x:c r="C278" s="25" t="str">
        <x:v>Module 9 key takeaway</x:v>
      </x:c>
      <x:c r="D278" s="25" t="str">
        <x:v>Zero tolerance for bribery, sexual harassment, bullying, discrimination, and workplace violence.</x:v>
      </x:c>
      <x:c r="E278" s="27" t="str"/>
      <x:c r="F278" s="25" t="str">
        <x:f>IF(E278="","Missing",IF(TRIM(E278)=TRIM(D278),"Review: same as English","Translated"))</x:f>
        <x:v>Missing</x:v>
      </x:c>
      <x:c r="G278" s="27" t="str"/>
      <x:c r="H278" s="25" t="str">
        <x:f>IF(G278="","Missing",IF(TRIM(G278)=TRIM(D278),"Review: same as English","Translated"))</x:f>
        <x:v>Missing</x:v>
      </x:c>
      <x:c r="I278" s="27" t="str">
        <x:v>No Malay or Chinese module currently exists in the application.</x:v>
      </x:c>
    </x:row>
    <x:row r="279" ht="20" customHeight="1">
      <x:c r="A279" s="25" t="n">
        <x:v>10</x:v>
      </x:c>
      <x:c r="B279" s="25" t="str">
        <x:v>title</x:v>
      </x:c>
      <x:c r="C279" s="25" t="str">
        <x:v>Module 10 title</x:v>
      </x:c>
      <x:c r="D279" s="25" t="str">
        <x:v>Part 10 – IT, Security &amp; Data Protection</x:v>
      </x:c>
      <x:c r="E279" s="27" t="str"/>
      <x:c r="F279" s="25" t="str">
        <x:f>IF(E279="","Missing",IF(TRIM(E279)=TRIM(D279),"Review: same as English","Translated"))</x:f>
        <x:v>Missing</x:v>
      </x:c>
      <x:c r="G279" s="27" t="str"/>
      <x:c r="H279" s="25" t="str">
        <x:f>IF(G279="","Missing",IF(TRIM(G279)=TRIM(D279),"Review: same as English","Translated"))</x:f>
        <x:v>Missing</x:v>
      </x:c>
      <x:c r="I279" s="27" t="str">
        <x:v>No Malay or Chinese module currently exists in the application.</x:v>
      </x:c>
    </x:row>
    <x:row r="280" ht="34" customHeight="1">
      <x:c r="A280" s="25" t="n">
        <x:v>10</x:v>
      </x:c>
      <x:c r="B280" s="25" t="str">
        <x:v>subtitle</x:v>
      </x:c>
      <x:c r="C280" s="25" t="str">
        <x:v>Module 10 subtitle</x:v>
      </x:c>
      <x:c r="D280" s="25" t="str">
        <x:v>Information security, company asset use, email/internet, AI usage policy, cybersecurity &amp; PDPA 2010</x:v>
      </x:c>
      <x:c r="E280" s="27" t="str"/>
      <x:c r="F280" s="25" t="str">
        <x:f>IF(E280="","Missing",IF(TRIM(E280)=TRIM(D280),"Review: same as English","Translated"))</x:f>
        <x:v>Missing</x:v>
      </x:c>
      <x:c r="G280" s="27" t="str"/>
      <x:c r="H280" s="25" t="str">
        <x:f>IF(G280="","Missing",IF(TRIM(G280)=TRIM(D280),"Review: same as English","Translated"))</x:f>
        <x:v>Missing</x:v>
      </x:c>
      <x:c r="I280" s="27" t="str">
        <x:v>No Malay or Chinese module currently exists in the application.</x:v>
      </x:c>
    </x:row>
    <x:row r="281" ht="20" customHeight="1">
      <x:c r="A281" s="25" t="n">
        <x:v>10</x:v>
      </x:c>
      <x:c r="B281" s="25" t="str">
        <x:v>content.sectionTitle</x:v>
      </x:c>
      <x:c r="C281" s="25" t="str">
        <x:v>Module 10 section heading</x:v>
      </x:c>
      <x:c r="D281" s="25" t="str">
        <x:v>PART 10 – IT, SECURITY &amp; DATA PROTECTION</x:v>
      </x:c>
      <x:c r="E281" s="27" t="str"/>
      <x:c r="F281" s="25" t="str">
        <x:f>IF(E281="","Missing",IF(TRIM(E281)=TRIM(D281),"Review: same as English","Translated"))</x:f>
        <x:v>Missing</x:v>
      </x:c>
      <x:c r="G281" s="27" t="str"/>
      <x:c r="H281" s="25" t="str">
        <x:f>IF(G281="","Missing",IF(TRIM(G281)=TRIM(D281),"Review: same as English","Translated"))</x:f>
        <x:v>Missing</x:v>
      </x:c>
      <x:c r="I281" s="27" t="str">
        <x:v>No Malay or Chinese module currently exists in the application.</x:v>
      </x:c>
    </x:row>
    <x:row r="282" ht="48" customHeight="1">
      <x:c r="A282" s="25" t="n">
        <x:v>10</x:v>
      </x:c>
      <x:c r="B282" s="25" t="str">
        <x:v>content.bodyParagraphs[0]</x:v>
      </x:c>
      <x:c r="C282" s="25" t="str">
        <x:v>Module 10 opening paragraph 1</x:v>
      </x:c>
      <x:c r="D282" s="25" t="str">
        <x:v>Information, technology systems, digital assets, and data are critical business resources. All employees must protect data from unauthorized access, misuse, loss, or disclosure.</x:v>
      </x:c>
      <x:c r="E282" s="27" t="str"/>
      <x:c r="F282" s="25" t="str">
        <x:f>IF(E282="","Missing",IF(TRIM(E282)=TRIM(D282),"Review: same as English","Translated"))</x:f>
        <x:v>Missing</x:v>
      </x:c>
      <x:c r="G282" s="27" t="str"/>
      <x:c r="H282" s="25" t="str">
        <x:f>IF(G282="","Missing",IF(TRIM(G282)=TRIM(D282),"Review: same as English","Translated"))</x:f>
        <x:v>Missing</x:v>
      </x:c>
      <x:c r="I282" s="27" t="str">
        <x:v>No Malay or Chinese module currently exists in the application.</x:v>
      </x:c>
    </x:row>
    <x:row r="283" ht="20" customHeight="1">
      <x:c r="A283" s="25" t="n">
        <x:v>10</x:v>
      </x:c>
      <x:c r="B283" s="25" t="str">
        <x:v>content.subsections[0].title</x:v>
      </x:c>
      <x:c r="C283" s="25" t="str">
        <x:v>Module 10 subsection 1 title</x:v>
      </x:c>
      <x:c r="D283" s="25" t="str">
        <x:v>1. INFORMATION SECURITY &amp; ACCEPTABLE USE</x:v>
      </x:c>
      <x:c r="E283" s="27" t="str"/>
      <x:c r="F283" s="25" t="str">
        <x:f>IF(E283="","Missing",IF(TRIM(E283)=TRIM(D283),"Review: same as English","Translated"))</x:f>
        <x:v>Missing</x:v>
      </x:c>
      <x:c r="G283" s="27" t="str"/>
      <x:c r="H283" s="25" t="str">
        <x:f>IF(G283="","Missing",IF(TRIM(G283)=TRIM(D283),"Review: same as English","Translated"))</x:f>
        <x:v>Missing</x:v>
      </x:c>
      <x:c r="I283" s="27" t="str">
        <x:v>No Malay or Chinese module currently exists in the application.</x:v>
      </x:c>
    </x:row>
    <x:row r="284" ht="34" customHeight="1">
      <x:c r="A284" s="25" t="n">
        <x:v>10</x:v>
      </x:c>
      <x:c r="B284" s="25" t="str">
        <x:v>content.subsections[0].paragraphs[0]</x:v>
      </x:c>
      <x:c r="C284" s="25" t="str">
        <x:v>Module 10 subsection 1 paragraph 1</x:v>
      </x:c>
      <x:c r="D284" s="25" t="str">
        <x:v>Company computers, laptops, mobile devices, and software are provided solely for legitimate business purposes.</x:v>
      </x:c>
      <x:c r="E284" s="27" t="str"/>
      <x:c r="F284" s="25" t="str">
        <x:f>IF(E284="","Missing",IF(TRIM(E284)=TRIM(D284),"Review: same as English","Translated"))</x:f>
        <x:v>Missing</x:v>
      </x:c>
      <x:c r="G284" s="27" t="str"/>
      <x:c r="H284" s="25" t="str">
        <x:f>IF(G284="","Missing",IF(TRIM(G284)=TRIM(D284),"Review: same as English","Translated"))</x:f>
        <x:v>Missing</x:v>
      </x:c>
      <x:c r="I284" s="27" t="str">
        <x:v>No Malay or Chinese module currently exists in the application.</x:v>
      </x:c>
    </x:row>
    <x:row r="285" ht="34" customHeight="1">
      <x:c r="A285" s="25" t="n">
        <x:v>10</x:v>
      </x:c>
      <x:c r="B285" s="25" t="str">
        <x:v>content.subsections[0].paragraphs[1]</x:v>
      </x:c>
      <x:c r="C285" s="25" t="str">
        <x:v>Module 10 subsection 1 paragraph 2</x:v>
      </x:c>
      <x:c r="D285" s="25" t="str">
        <x:v>Employees must maintain password security, enable MFA/2FA, update software, and avoid sharing credentials.</x:v>
      </x:c>
      <x:c r="E285" s="27" t="str"/>
      <x:c r="F285" s="25" t="str">
        <x:f>IF(E285="","Missing",IF(TRIM(E285)=TRIM(D285),"Review: same as English","Translated"))</x:f>
        <x:v>Missing</x:v>
      </x:c>
      <x:c r="G285" s="27" t="str"/>
      <x:c r="H285" s="25" t="str">
        <x:f>IF(G285="","Missing",IF(TRIM(G285)=TRIM(D285),"Review: same as English","Translated"))</x:f>
        <x:v>Missing</x:v>
      </x:c>
      <x:c r="I285" s="27" t="str">
        <x:v>No Malay or Chinese module currently exists in the application.</x:v>
      </x:c>
    </x:row>
    <x:row r="286" ht="20" customHeight="1">
      <x:c r="A286" s="25" t="n">
        <x:v>10</x:v>
      </x:c>
      <x:c r="B286" s="25" t="str">
        <x:v>content.subsections[1].title</x:v>
      </x:c>
      <x:c r="C286" s="25" t="str">
        <x:v>Module 10 subsection 2 title</x:v>
      </x:c>
      <x:c r="D286" s="25" t="str">
        <x:v>2. ARTIFICIAL INTELLIGENCE (AI) USAGE POLICY</x:v>
      </x:c>
      <x:c r="E286" s="27" t="str"/>
      <x:c r="F286" s="25" t="str">
        <x:f>IF(E286="","Missing",IF(TRIM(E286)=TRIM(D286),"Review: same as English","Translated"))</x:f>
        <x:v>Missing</x:v>
      </x:c>
      <x:c r="G286" s="27" t="str"/>
      <x:c r="H286" s="25" t="str">
        <x:f>IF(G286="","Missing",IF(TRIM(G286)=TRIM(D286),"Review: same as English","Translated"))</x:f>
        <x:v>Missing</x:v>
      </x:c>
      <x:c r="I286" s="27" t="str">
        <x:v>No Malay or Chinese module currently exists in the application.</x:v>
      </x:c>
    </x:row>
    <x:row r="287" ht="62" customHeight="1">
      <x:c r="A287" s="25" t="n">
        <x:v>10</x:v>
      </x:c>
      <x:c r="B287" s="25" t="str">
        <x:v>content.subsections[1].paragraphs[0]</x:v>
      </x:c>
      <x:c r="C287" s="25" t="str">
        <x:v>Module 10 subsection 2 paragraph 1</x:v>
      </x:c>
      <x:c r="D287" s="25" t="str">
        <x:v>Employees may use approved AI tools for business productivity. Employees shall NOT upload confidential or client data into public AI platforms without written approval, nor rely solely on AI output without verification.</x:v>
      </x:c>
      <x:c r="E287" s="27" t="str"/>
      <x:c r="F287" s="25" t="str">
        <x:f>IF(E287="","Missing",IF(TRIM(E287)=TRIM(D287),"Review: same as English","Translated"))</x:f>
        <x:v>Missing</x:v>
      </x:c>
      <x:c r="G287" s="27" t="str"/>
      <x:c r="H287" s="25" t="str">
        <x:f>IF(G287="","Missing",IF(TRIM(G287)=TRIM(D287),"Review: same as English","Translated"))</x:f>
        <x:v>Missing</x:v>
      </x:c>
      <x:c r="I287" s="27" t="str">
        <x:v>No Malay or Chinese module currently exists in the application.</x:v>
      </x:c>
    </x:row>
    <x:row r="288" ht="20" customHeight="1">
      <x:c r="A288" s="25" t="n">
        <x:v>10</x:v>
      </x:c>
      <x:c r="B288" s="25" t="str">
        <x:v>content.subsections[2].title</x:v>
      </x:c>
      <x:c r="C288" s="25" t="str">
        <x:v>Module 10 subsection 3 title</x:v>
      </x:c>
      <x:c r="D288" s="25" t="str">
        <x:v>3. INTELLECTUAL PROPERTY &amp; PDPA 2010</x:v>
      </x:c>
      <x:c r="E288" s="27" t="str"/>
      <x:c r="F288" s="25" t="str">
        <x:f>IF(E288="","Missing",IF(TRIM(E288)=TRIM(D288),"Review: same as English","Translated"))</x:f>
        <x:v>Missing</x:v>
      </x:c>
      <x:c r="G288" s="27" t="str"/>
      <x:c r="H288" s="25" t="str">
        <x:f>IF(G288="","Missing",IF(TRIM(G288)=TRIM(D288),"Review: same as English","Translated"))</x:f>
        <x:v>Missing</x:v>
      </x:c>
      <x:c r="I288" s="27" t="str">
        <x:v>No Malay or Chinese module currently exists in the application.</x:v>
      </x:c>
    </x:row>
    <x:row r="289" ht="48" customHeight="1">
      <x:c r="A289" s="25" t="n">
        <x:v>10</x:v>
      </x:c>
      <x:c r="B289" s="25" t="str">
        <x:v>content.subsections[2].paragraphs[0]</x:v>
      </x:c>
      <x:c r="C289" s="25" t="str">
        <x:v>Module 10 subsection 3 paragraph 1</x:v>
      </x:c>
      <x:c r="D289" s="25" t="str">
        <x:v>• Intellectual Property: All designs, content, videos, campaign materials, presentations, software, and creative concepts created during employment belong exclusively to RedPoint Sdn Bhd.</x:v>
      </x:c>
      <x:c r="E289" s="27" t="str"/>
      <x:c r="F289" s="25" t="str">
        <x:f>IF(E289="","Missing",IF(TRIM(E289)=TRIM(D289),"Review: same as English","Translated"))</x:f>
        <x:v>Missing</x:v>
      </x:c>
      <x:c r="G289" s="27" t="str"/>
      <x:c r="H289" s="25" t="str">
        <x:f>IF(G289="","Missing",IF(TRIM(G289)=TRIM(D289),"Review: same as English","Translated"))</x:f>
        <x:v>Missing</x:v>
      </x:c>
      <x:c r="I289" s="27" t="str">
        <x:v>No Malay or Chinese module currently exists in the application.</x:v>
      </x:c>
    </x:row>
    <x:row r="290" ht="48" customHeight="1">
      <x:c r="A290" s="25" t="n">
        <x:v>10</x:v>
      </x:c>
      <x:c r="B290" s="25" t="str">
        <x:v>content.subsections[2].paragraphs[1]</x:v>
      </x:c>
      <x:c r="C290" s="25" t="str">
        <x:v>Module 10 subsection 3 paragraph 2</x:v>
      </x:c>
      <x:c r="D290" s="25" t="str">
        <x:v>• PDPA Compliance: Personal data of employees, clients, suppliers, and candidates must be processed strictly in accordance with the Malaysian Personal Data Protection Act 2010.</x:v>
      </x:c>
      <x:c r="E290" s="27" t="str"/>
      <x:c r="F290" s="25" t="str">
        <x:f>IF(E290="","Missing",IF(TRIM(E290)=TRIM(D290),"Review: same as English","Translated"))</x:f>
        <x:v>Missing</x:v>
      </x:c>
      <x:c r="G290" s="27" t="str"/>
      <x:c r="H290" s="25" t="str">
        <x:f>IF(G290="","Missing",IF(TRIM(G290)=TRIM(D290),"Review: same as English","Translated"))</x:f>
        <x:v>Missing</x:v>
      </x:c>
      <x:c r="I290" s="27" t="str">
        <x:v>No Malay or Chinese module currently exists in the application.</x:v>
      </x:c>
    </x:row>
    <x:row r="291" ht="48" customHeight="1">
      <x:c r="A291" s="25" t="n">
        <x:v>10</x:v>
      </x:c>
      <x:c r="B291" s="25" t="str">
        <x:v>content.keyTakeaway</x:v>
      </x:c>
      <x:c r="C291" s="25" t="str">
        <x:v>Module 10 key takeaway</x:v>
      </x:c>
      <x:c r="D291" s="25" t="str">
        <x:v>All digital assets, client files, social media accounts, Canva, Google Workspace, and company databases remain the sole property of RedPoint Sdn Bhd.</x:v>
      </x:c>
      <x:c r="E291" s="27" t="str"/>
      <x:c r="F291" s="25" t="str">
        <x:f>IF(E291="","Missing",IF(TRIM(E291)=TRIM(D291),"Review: same as English","Translated"))</x:f>
        <x:v>Missing</x:v>
      </x:c>
      <x:c r="G291" s="27" t="str"/>
      <x:c r="H291" s="25" t="str">
        <x:f>IF(G291="","Missing",IF(TRIM(G291)=TRIM(D291),"Review: same as English","Translated"))</x:f>
        <x:v>Missing</x:v>
      </x:c>
      <x:c r="I291" s="27" t="str">
        <x:v>No Malay or Chinese module currently exists in the application.</x:v>
      </x:c>
    </x:row>
    <x:row r="292" ht="20" customHeight="1">
      <x:c r="A292" s="25" t="n">
        <x:v>11</x:v>
      </x:c>
      <x:c r="B292" s="25" t="str">
        <x:v>title</x:v>
      </x:c>
      <x:c r="C292" s="25" t="str">
        <x:v>Module 11 title</x:v>
      </x:c>
      <x:c r="D292" s="25" t="str">
        <x:v>Part 11 – Workplace Health, Safety &amp; Wellbeing</x:v>
      </x:c>
      <x:c r="E292" s="27" t="str"/>
      <x:c r="F292" s="25" t="str">
        <x:f>IF(E292="","Missing",IF(TRIM(E292)=TRIM(D292),"Review: same as English","Translated"))</x:f>
        <x:v>Missing</x:v>
      </x:c>
      <x:c r="G292" s="27" t="str"/>
      <x:c r="H292" s="25" t="str">
        <x:f>IF(G292="","Missing",IF(TRIM(G292)=TRIM(D292),"Review: same as English","Translated"))</x:f>
        <x:v>Missing</x:v>
      </x:c>
      <x:c r="I292" s="27" t="str">
        <x:v>No Malay or Chinese module currently exists in the application.</x:v>
      </x:c>
    </x:row>
    <x:row r="293" ht="34" customHeight="1">
      <x:c r="A293" s="25" t="n">
        <x:v>11</x:v>
      </x:c>
      <x:c r="B293" s="25" t="str">
        <x:v>subtitle</x:v>
      </x:c>
      <x:c r="C293" s="25" t="str">
        <x:v>Module 11 subtitle</x:v>
      </x:c>
      <x:c r="D293" s="25" t="str">
        <x:v>Workplace safety, emergency procedures, fire evacuation, accident reporting, drug/alcohol, smoking &amp; ergonomics</x:v>
      </x:c>
      <x:c r="E293" s="27" t="str"/>
      <x:c r="F293" s="25" t="str">
        <x:f>IF(E293="","Missing",IF(TRIM(E293)=TRIM(D293),"Review: same as English","Translated"))</x:f>
        <x:v>Missing</x:v>
      </x:c>
      <x:c r="G293" s="27" t="str"/>
      <x:c r="H293" s="25" t="str">
        <x:f>IF(G293="","Missing",IF(TRIM(G293)=TRIM(D293),"Review: same as English","Translated"))</x:f>
        <x:v>Missing</x:v>
      </x:c>
      <x:c r="I293" s="27" t="str">
        <x:v>No Malay or Chinese module currently exists in the application.</x:v>
      </x:c>
    </x:row>
    <x:row r="294" ht="20" customHeight="1">
      <x:c r="A294" s="25" t="n">
        <x:v>11</x:v>
      </x:c>
      <x:c r="B294" s="25" t="str">
        <x:v>content.sectionTitle</x:v>
      </x:c>
      <x:c r="C294" s="25" t="str">
        <x:v>Module 11 section heading</x:v>
      </x:c>
      <x:c r="D294" s="25" t="str">
        <x:v>PART 11 – WORKPLACE HEALTH, SAFETY &amp; WELLBEING</x:v>
      </x:c>
      <x:c r="E294" s="27" t="str"/>
      <x:c r="F294" s="25" t="str">
        <x:f>IF(E294="","Missing",IF(TRIM(E294)=TRIM(D294),"Review: same as English","Translated"))</x:f>
        <x:v>Missing</x:v>
      </x:c>
      <x:c r="G294" s="27" t="str"/>
      <x:c r="H294" s="25" t="str">
        <x:f>IF(G294="","Missing",IF(TRIM(G294)=TRIM(D294),"Review: same as English","Translated"))</x:f>
        <x:v>Missing</x:v>
      </x:c>
      <x:c r="I294" s="27" t="str">
        <x:v>No Malay or Chinese module currently exists in the application.</x:v>
      </x:c>
    </x:row>
    <x:row r="295" ht="34" customHeight="1">
      <x:c r="A295" s="25" t="n">
        <x:v>11</x:v>
      </x:c>
      <x:c r="B295" s="25" t="str">
        <x:v>content.bodyParagraphs[0]</x:v>
      </x:c>
      <x:c r="C295" s="25" t="str">
        <x:v>Module 11 opening paragraph 1</x:v>
      </x:c>
      <x:c r="D295" s="25" t="str">
        <x:v>RedPoint Sdn Bhd is committed to providing a safe, healthy, and supportive working environment for all employees, clients, and visitors.</x:v>
      </x:c>
      <x:c r="E295" s="27" t="str"/>
      <x:c r="F295" s="25" t="str">
        <x:f>IF(E295="","Missing",IF(TRIM(E295)=TRIM(D295),"Review: same as English","Translated"))</x:f>
        <x:v>Missing</x:v>
      </x:c>
      <x:c r="G295" s="27" t="str"/>
      <x:c r="H295" s="25" t="str">
        <x:f>IF(G295="","Missing",IF(TRIM(G295)=TRIM(D295),"Review: same as English","Translated"))</x:f>
        <x:v>Missing</x:v>
      </x:c>
      <x:c r="I295" s="27" t="str">
        <x:v>No Malay or Chinese module currently exists in the application.</x:v>
      </x:c>
    </x:row>
    <x:row r="296" ht="20" customHeight="1">
      <x:c r="A296" s="25" t="n">
        <x:v>11</x:v>
      </x:c>
      <x:c r="B296" s="25" t="str">
        <x:v>content.subsections[0].title</x:v>
      </x:c>
      <x:c r="C296" s="25" t="str">
        <x:v>Module 11 subsection 1 title</x:v>
      </x:c>
      <x:c r="D296" s="25" t="str">
        <x:v>1. EMERGENCY RESPONSE &amp; FIRE EVACUATION</x:v>
      </x:c>
      <x:c r="E296" s="27" t="str"/>
      <x:c r="F296" s="25" t="str">
        <x:f>IF(E296="","Missing",IF(TRIM(E296)=TRIM(D296),"Review: same as English","Translated"))</x:f>
        <x:v>Missing</x:v>
      </x:c>
      <x:c r="G296" s="27" t="str"/>
      <x:c r="H296" s="25" t="str">
        <x:f>IF(G296="","Missing",IF(TRIM(G296)=TRIM(D296),"Review: same as English","Translated"))</x:f>
        <x:v>Missing</x:v>
      </x:c>
      <x:c r="I296" s="27" t="str">
        <x:v>No Malay or Chinese module currently exists in the application.</x:v>
      </x:c>
    </x:row>
    <x:row r="297" ht="48" customHeight="1">
      <x:c r="A297" s="25" t="n">
        <x:v>11</x:v>
      </x:c>
      <x:c r="B297" s="25" t="str">
        <x:v>content.subsections[0].paragraphs[0]</x:v>
      </x:c>
      <x:c r="C297" s="25" t="str">
        <x:v>Module 11 subsection 1 paragraph 1</x:v>
      </x:c>
      <x:c r="D297" s="25" t="str">
        <x:v>Emergency Response Steps: Step 1 Remain calm → Step 2 Assess situation → Step 3 Notify Supervisor/HR/Emergency Services → Step 4 Follow instructions → Step 5 Evacuate if directed.</x:v>
      </x:c>
      <x:c r="E297" s="27" t="str"/>
      <x:c r="F297" s="25" t="str">
        <x:f>IF(E297="","Missing",IF(TRIM(E297)=TRIM(D297),"Review: same as English","Translated"))</x:f>
        <x:v>Missing</x:v>
      </x:c>
      <x:c r="G297" s="27" t="str"/>
      <x:c r="H297" s="25" t="str">
        <x:f>IF(G297="","Missing",IF(TRIM(G297)=TRIM(D297),"Review: same as English","Translated"))</x:f>
        <x:v>Missing</x:v>
      </x:c>
      <x:c r="I297" s="27" t="str">
        <x:v>No Malay or Chinese module currently exists in the application.</x:v>
      </x:c>
    </x:row>
    <x:row r="298" ht="48" customHeight="1">
      <x:c r="A298" s="25" t="n">
        <x:v>11</x:v>
      </x:c>
      <x:c r="B298" s="25" t="str">
        <x:v>content.subsections[0].paragraphs[1]</x:v>
      </x:c>
      <x:c r="C298" s="25" t="str">
        <x:v>Module 11 subsection 1 paragraph 2</x:v>
      </x:c>
      <x:c r="D298" s="25" t="str">
        <x:v>Fire Evacuation Procedure: 1. Activate alarm → 2. Notify others → 3. Evacuate via exits (NO LIFTS) → 4. Proceed to assembly point → 5. Await clearance.</x:v>
      </x:c>
      <x:c r="E298" s="27" t="str"/>
      <x:c r="F298" s="25" t="str">
        <x:f>IF(E298="","Missing",IF(TRIM(E298)=TRIM(D298),"Review: same as English","Translated"))</x:f>
        <x:v>Missing</x:v>
      </x:c>
      <x:c r="G298" s="27" t="str"/>
      <x:c r="H298" s="25" t="str">
        <x:f>IF(G298="","Missing",IF(TRIM(G298)=TRIM(D298),"Review: same as English","Translated"))</x:f>
        <x:v>Missing</x:v>
      </x:c>
      <x:c r="I298" s="27" t="str">
        <x:v>No Malay or Chinese module currently exists in the application.</x:v>
      </x:c>
    </x:row>
    <x:row r="299" ht="20" customHeight="1">
      <x:c r="A299" s="25" t="n">
        <x:v>11</x:v>
      </x:c>
      <x:c r="B299" s="25" t="str">
        <x:v>content.subsections[1].title</x:v>
      </x:c>
      <x:c r="C299" s="25" t="str">
        <x:v>Module 11 subsection 2 title</x:v>
      </x:c>
      <x:c r="D299" s="25" t="str">
        <x:v>2. ACCIDENT REPORTING &amp; FIRST AID</x:v>
      </x:c>
      <x:c r="E299" s="27" t="str"/>
      <x:c r="F299" s="25" t="str">
        <x:f>IF(E299="","Missing",IF(TRIM(E299)=TRIM(D299),"Review: same as English","Translated"))</x:f>
        <x:v>Missing</x:v>
      </x:c>
      <x:c r="G299" s="27" t="str"/>
      <x:c r="H299" s="25" t="str">
        <x:f>IF(G299="","Missing",IF(TRIM(G299)=TRIM(D299),"Review: same as English","Translated"))</x:f>
        <x:v>Missing</x:v>
      </x:c>
      <x:c r="I299" s="27" t="str">
        <x:v>No Malay or Chinese module currently exists in the application.</x:v>
      </x:c>
    </x:row>
    <x:row r="300" ht="34" customHeight="1">
      <x:c r="A300" s="25" t="n">
        <x:v>11</x:v>
      </x:c>
      <x:c r="B300" s="25" t="str">
        <x:v>content.subsections[1].paragraphs[0]</x:v>
      </x:c>
      <x:c r="C300" s="25" t="str">
        <x:v>Module 11 subsection 2 paragraph 1</x:v>
      </x:c>
      <x:c r="D300" s="25" t="str">
        <x:v>Report all workplace injuries, slips, falls, property damage, and near-misses immediately to Supervisor and HR.</x:v>
      </x:c>
      <x:c r="E300" s="27" t="str"/>
      <x:c r="F300" s="25" t="str">
        <x:f>IF(E300="","Missing",IF(TRIM(E300)=TRIM(D300),"Review: same as English","Translated"))</x:f>
        <x:v>Missing</x:v>
      </x:c>
      <x:c r="G300" s="27" t="str"/>
      <x:c r="H300" s="25" t="str">
        <x:f>IF(G300="","Missing",IF(TRIM(G300)=TRIM(D300),"Review: same as English","Translated"))</x:f>
        <x:v>Missing</x:v>
      </x:c>
      <x:c r="I300" s="27" t="str">
        <x:v>No Malay or Chinese module currently exists in the application.</x:v>
      </x:c>
    </x:row>
    <x:row r="301" ht="20" customHeight="1">
      <x:c r="A301" s="25" t="n">
        <x:v>11</x:v>
      </x:c>
      <x:c r="B301" s="25" t="str">
        <x:v>content.subsections[2].title</x:v>
      </x:c>
      <x:c r="C301" s="25" t="str">
        <x:v>Module 11 subsection 3 title</x:v>
      </x:c>
      <x:c r="D301" s="25" t="str">
        <x:v>3. DRUG, ALCOHOL, SMOKING &amp; MENTAL HEALTH POLICIES</x:v>
      </x:c>
      <x:c r="E301" s="27" t="str"/>
      <x:c r="F301" s="25" t="str">
        <x:f>IF(E301="","Missing",IF(TRIM(E301)=TRIM(D301),"Review: same as English","Translated"))</x:f>
        <x:v>Missing</x:v>
      </x:c>
      <x:c r="G301" s="27" t="str"/>
      <x:c r="H301" s="25" t="str">
        <x:f>IF(G301="","Missing",IF(TRIM(G301)=TRIM(D301),"Review: same as English","Translated"))</x:f>
        <x:v>Missing</x:v>
      </x:c>
      <x:c r="I301" s="27" t="str">
        <x:v>No Malay or Chinese module currently exists in the application.</x:v>
      </x:c>
    </x:row>
    <x:row r="302" ht="20" customHeight="1">
      <x:c r="A302" s="25" t="n">
        <x:v>11</x:v>
      </x:c>
      <x:c r="B302" s="25" t="str">
        <x:v>content.subsections[2].paragraphs[0]</x:v>
      </x:c>
      <x:c r="C302" s="25" t="str">
        <x:v>Module 11 subsection 3 paragraph 1</x:v>
      </x:c>
      <x:c r="D302" s="25" t="str">
        <x:v>• Zero tolerance for drugs or alcohol at work.</x:v>
      </x:c>
      <x:c r="E302" s="27" t="str"/>
      <x:c r="F302" s="25" t="str">
        <x:f>IF(E302="","Missing",IF(TRIM(E302)=TRIM(D302),"Review: same as English","Translated"))</x:f>
        <x:v>Missing</x:v>
      </x:c>
      <x:c r="G302" s="27" t="str"/>
      <x:c r="H302" s="25" t="str">
        <x:f>IF(G302="","Missing",IF(TRIM(G302)=TRIM(D302),"Review: same as English","Translated"))</x:f>
        <x:v>Missing</x:v>
      </x:c>
      <x:c r="I302" s="27" t="str">
        <x:v>No Malay or Chinese module currently exists in the application.</x:v>
      </x:c>
    </x:row>
    <x:row r="303" ht="34" customHeight="1">
      <x:c r="A303" s="25" t="n">
        <x:v>11</x:v>
      </x:c>
      <x:c r="B303" s="25" t="str">
        <x:v>content.subsections[2].paragraphs[1]</x:v>
      </x:c>
      <x:c r="C303" s="25" t="str">
        <x:v>Module 11 subsection 3 paragraph 2</x:v>
      </x:c>
      <x:c r="D303" s="25" t="str">
        <x:v>• Smoking and vaping are prohibited in all non-designated workplace areas.</x:v>
      </x:c>
      <x:c r="E303" s="27" t="str"/>
      <x:c r="F303" s="25" t="str">
        <x:f>IF(E303="","Missing",IF(TRIM(E303)=TRIM(D303),"Review: same as English","Translated"))</x:f>
        <x:v>Missing</x:v>
      </x:c>
      <x:c r="G303" s="27" t="str"/>
      <x:c r="H303" s="25" t="str">
        <x:f>IF(G303="","Missing",IF(TRIM(G303)=TRIM(D303),"Review: same as English","Translated"))</x:f>
        <x:v>Missing</x:v>
      </x:c>
      <x:c r="I303" s="27" t="str">
        <x:v>No Malay or Chinese module currently exists in the application.</x:v>
      </x:c>
    </x:row>
    <x:row r="304" ht="34" customHeight="1">
      <x:c r="A304" s="25" t="n">
        <x:v>11</x:v>
      </x:c>
      <x:c r="B304" s="25" t="str">
        <x:v>content.subsections[2].paragraphs[2]</x:v>
      </x:c>
      <x:c r="C304" s="25" t="str">
        <x:v>Module 11 subsection 3 paragraph 3</x:v>
      </x:c>
      <x:c r="D304" s="25" t="str">
        <x:v>• Mental Health: Open communication, work-life balance, and employee support resources are actively encouraged.</x:v>
      </x:c>
      <x:c r="E304" s="27" t="str"/>
      <x:c r="F304" s="25" t="str">
        <x:f>IF(E304="","Missing",IF(TRIM(E304)=TRIM(D304),"Review: same as English","Translated"))</x:f>
        <x:v>Missing</x:v>
      </x:c>
      <x:c r="G304" s="27" t="str"/>
      <x:c r="H304" s="25" t="str">
        <x:f>IF(G304="","Missing",IF(TRIM(G304)=TRIM(D304),"Review: same as English","Translated"))</x:f>
        <x:v>Missing</x:v>
      </x:c>
      <x:c r="I304" s="27" t="str">
        <x:v>No Malay or Chinese module currently exists in the application.</x:v>
      </x:c>
    </x:row>
    <x:row r="305" ht="34" customHeight="1">
      <x:c r="A305" s="25" t="n">
        <x:v>11</x:v>
      </x:c>
      <x:c r="B305" s="25" t="str">
        <x:v>content.keyTakeaway</x:v>
      </x:c>
      <x:c r="C305" s="25" t="str">
        <x:v>Module 11 key takeaway</x:v>
      </x:c>
      <x:c r="D305" s="25" t="str">
        <x:v>In case of fire, evacuate immediately using stairs—do NOT use lifts. Assembly point is at the designated area outside.</x:v>
      </x:c>
      <x:c r="E305" s="27" t="str"/>
      <x:c r="F305" s="25" t="str">
        <x:f>IF(E305="","Missing",IF(TRIM(E305)=TRIM(D305),"Review: same as English","Translated"))</x:f>
        <x:v>Missing</x:v>
      </x:c>
      <x:c r="G305" s="27" t="str"/>
      <x:c r="H305" s="25" t="str">
        <x:f>IF(G305="","Missing",IF(TRIM(G305)=TRIM(D305),"Review: same as English","Translated"))</x:f>
        <x:v>Missing</x:v>
      </x:c>
      <x:c r="I305" s="27" t="str">
        <x:v>No Malay or Chinese module currently exists in the application.</x:v>
      </x:c>
    </x:row>
    <x:row r="306" ht="20" customHeight="1">
      <x:c r="A306" s="25" t="n">
        <x:v>12</x:v>
      </x:c>
      <x:c r="B306" s="25" t="str">
        <x:v>title</x:v>
      </x:c>
      <x:c r="C306" s="25" t="str">
        <x:v>Module 12 title</x:v>
      </x:c>
      <x:c r="D306" s="25" t="str">
        <x:v>Part 12 – Company Property &amp; Facilities</x:v>
      </x:c>
      <x:c r="E306" s="27" t="str"/>
      <x:c r="F306" s="25" t="str">
        <x:f>IF(E306="","Missing",IF(TRIM(E306)=TRIM(D306),"Review: same as English","Translated"))</x:f>
        <x:v>Missing</x:v>
      </x:c>
      <x:c r="G306" s="27" t="str"/>
      <x:c r="H306" s="25" t="str">
        <x:f>IF(G306="","Missing",IF(TRIM(G306)=TRIM(D306),"Review: same as English","Translated"))</x:f>
        <x:v>Missing</x:v>
      </x:c>
      <x:c r="I306" s="27" t="str">
        <x:v>No Malay or Chinese module currently exists in the application.</x:v>
      </x:c>
    </x:row>
    <x:row r="307" ht="34" customHeight="1">
      <x:c r="A307" s="25" t="n">
        <x:v>12</x:v>
      </x:c>
      <x:c r="B307" s="25" t="str">
        <x:v>subtitle</x:v>
      </x:c>
      <x:c r="C307" s="25" t="str">
        <x:v>Module 12 subtitle</x:v>
      </x:c>
      <x:c r="D307" s="25" t="str">
        <x:v>Property policy, asset issuance &amp; return, laptops, access cards, vehicles, fuel/toll claims &amp; office facilities</x:v>
      </x:c>
      <x:c r="E307" s="27" t="str"/>
      <x:c r="F307" s="25" t="str">
        <x:f>IF(E307="","Missing",IF(TRIM(E307)=TRIM(D307),"Review: same as English","Translated"))</x:f>
        <x:v>Missing</x:v>
      </x:c>
      <x:c r="G307" s="27" t="str"/>
      <x:c r="H307" s="25" t="str">
        <x:f>IF(G307="","Missing",IF(TRIM(G307)=TRIM(D307),"Review: same as English","Translated"))</x:f>
        <x:v>Missing</x:v>
      </x:c>
      <x:c r="I307" s="27" t="str">
        <x:v>No Malay or Chinese module currently exists in the application.</x:v>
      </x:c>
    </x:row>
    <x:row r="308" ht="20" customHeight="1">
      <x:c r="A308" s="25" t="n">
        <x:v>12</x:v>
      </x:c>
      <x:c r="B308" s="25" t="str">
        <x:v>content.sectionTitle</x:v>
      </x:c>
      <x:c r="C308" s="25" t="str">
        <x:v>Module 12 section heading</x:v>
      </x:c>
      <x:c r="D308" s="25" t="str">
        <x:v>PART 12 – COMPANY PROPERTY &amp; FACILITIES</x:v>
      </x:c>
      <x:c r="E308" s="27" t="str"/>
      <x:c r="F308" s="25" t="str">
        <x:f>IF(E308="","Missing",IF(TRIM(E308)=TRIM(D308),"Review: same as English","Translated"))</x:f>
        <x:v>Missing</x:v>
      </x:c>
      <x:c r="G308" s="27" t="str"/>
      <x:c r="H308" s="25" t="str">
        <x:f>IF(G308="","Missing",IF(TRIM(G308)=TRIM(D308),"Review: same as English","Translated"))</x:f>
        <x:v>Missing</x:v>
      </x:c>
      <x:c r="I308" s="27" t="str">
        <x:v>No Malay or Chinese module currently exists in the application.</x:v>
      </x:c>
    </x:row>
    <x:row r="309" ht="48" customHeight="1">
      <x:c r="A309" s="25" t="n">
        <x:v>12</x:v>
      </x:c>
      <x:c r="B309" s="25" t="str">
        <x:v>content.bodyParagraphs[0]</x:v>
      </x:c>
      <x:c r="C309" s="25" t="str">
        <x:v>Module 12 opening paragraph 1</x:v>
      </x:c>
      <x:c r="D309" s="25" t="str">
        <x:v>RedPoint Sdn Bhd provides property, equipment, and facilities to support operations. All company property remains the sole and exclusive property of RedPoint.</x:v>
      </x:c>
      <x:c r="E309" s="27" t="str"/>
      <x:c r="F309" s="25" t="str">
        <x:f>IF(E309="","Missing",IF(TRIM(E309)=TRIM(D309),"Review: same as English","Translated"))</x:f>
        <x:v>Missing</x:v>
      </x:c>
      <x:c r="G309" s="27" t="str"/>
      <x:c r="H309" s="25" t="str">
        <x:f>IF(G309="","Missing",IF(TRIM(G309)=TRIM(D309),"Review: same as English","Translated"))</x:f>
        <x:v>Missing</x:v>
      </x:c>
      <x:c r="I309" s="27" t="str">
        <x:v>No Malay or Chinese module currently exists in the application.</x:v>
      </x:c>
    </x:row>
    <x:row r="310" ht="20" customHeight="1">
      <x:c r="A310" s="25" t="n">
        <x:v>12</x:v>
      </x:c>
      <x:c r="B310" s="25" t="str">
        <x:v>content.subsections[0].title</x:v>
      </x:c>
      <x:c r="C310" s="25" t="str">
        <x:v>Module 12 subsection 1 title</x:v>
      </x:c>
      <x:c r="D310" s="25" t="str">
        <x:v>1. ASSET ISSUANCE, CARE &amp; RETURN</x:v>
      </x:c>
      <x:c r="E310" s="27" t="str"/>
      <x:c r="F310" s="25" t="str">
        <x:f>IF(E310="","Missing",IF(TRIM(E310)=TRIM(D310),"Review: same as English","Translated"))</x:f>
        <x:v>Missing</x:v>
      </x:c>
      <x:c r="G310" s="27" t="str"/>
      <x:c r="H310" s="25" t="str">
        <x:f>IF(G310="","Missing",IF(TRIM(G310)=TRIM(D310),"Review: same as English","Translated"))</x:f>
        <x:v>Missing</x:v>
      </x:c>
      <x:c r="I310" s="27" t="str">
        <x:v>No Malay or Chinese module currently exists in the application.</x:v>
      </x:c>
    </x:row>
    <x:row r="311" ht="34" customHeight="1">
      <x:c r="A311" s="25" t="n">
        <x:v>12</x:v>
      </x:c>
      <x:c r="B311" s="25" t="str">
        <x:v>content.subsections[0].paragraphs[0]</x:v>
      </x:c>
      <x:c r="C311" s="25" t="str">
        <x:v>Module 12 subsection 1 paragraph 1</x:v>
      </x:c>
      <x:c r="D311" s="25" t="str">
        <x:v>Issued assets (laptops, mobile devices, access cards, monitors, headsets) require a signed Asset Issuance Form.</x:v>
      </x:c>
      <x:c r="E311" s="27" t="str"/>
      <x:c r="F311" s="25" t="str">
        <x:f>IF(E311="","Missing",IF(TRIM(E311)=TRIM(D311),"Review: same as English","Translated"))</x:f>
        <x:v>Missing</x:v>
      </x:c>
      <x:c r="G311" s="27" t="str"/>
      <x:c r="H311" s="25" t="str">
        <x:f>IF(G311="","Missing",IF(TRIM(G311)=TRIM(D311),"Review: same as English","Translated"))</x:f>
        <x:v>Missing</x:v>
      </x:c>
      <x:c r="I311" s="27" t="str">
        <x:v>No Malay or Chinese module currently exists in the application.</x:v>
      </x:c>
    </x:row>
    <x:row r="312" ht="48" customHeight="1">
      <x:c r="A312" s="25" t="n">
        <x:v>12</x:v>
      </x:c>
      <x:c r="B312" s="25" t="str">
        <x:v>content.subsections[0].paragraphs[1]</x:v>
      </x:c>
      <x:c r="C312" s="25" t="str">
        <x:v>Module 12 subsection 1 paragraph 2</x:v>
      </x:c>
      <x:c r="D312" s="25" t="str">
        <x:v>All assets and digital credentials must be returned upon resignation, termination, or request. Unreturned property costs may be recovered in accordance with law.</x:v>
      </x:c>
      <x:c r="E312" s="27" t="str"/>
      <x:c r="F312" s="25" t="str">
        <x:f>IF(E312="","Missing",IF(TRIM(E312)=TRIM(D312),"Review: same as English","Translated"))</x:f>
        <x:v>Missing</x:v>
      </x:c>
      <x:c r="G312" s="27" t="str"/>
      <x:c r="H312" s="25" t="str">
        <x:f>IF(G312="","Missing",IF(TRIM(G312)=TRIM(D312),"Review: same as English","Translated"))</x:f>
        <x:v>Missing</x:v>
      </x:c>
      <x:c r="I312" s="27" t="str">
        <x:v>No Malay or Chinese module currently exists in the application.</x:v>
      </x:c>
    </x:row>
    <x:row r="313" ht="20" customHeight="1">
      <x:c r="A313" s="25" t="n">
        <x:v>12</x:v>
      </x:c>
      <x:c r="B313" s="25" t="str">
        <x:v>content.subsections[1].title</x:v>
      </x:c>
      <x:c r="C313" s="25" t="str">
        <x:v>Module 12 subsection 2 title</x:v>
      </x:c>
      <x:c r="D313" s="25" t="str">
        <x:v>2. COMPANY VEHICLES, FUEL &amp; TOLL CLAIMS</x:v>
      </x:c>
      <x:c r="E313" s="27" t="str"/>
      <x:c r="F313" s="25" t="str">
        <x:f>IF(E313="","Missing",IF(TRIM(E313)=TRIM(D313),"Review: same as English","Translated"))</x:f>
        <x:v>Missing</x:v>
      </x:c>
      <x:c r="G313" s="27" t="str"/>
      <x:c r="H313" s="25" t="str">
        <x:f>IF(G313="","Missing",IF(TRIM(G313)=TRIM(D313),"Review: same as English","Translated"))</x:f>
        <x:v>Missing</x:v>
      </x:c>
      <x:c r="I313" s="27" t="str">
        <x:v>No Malay or Chinese module currently exists in the application.</x:v>
      </x:c>
    </x:row>
    <x:row r="314" ht="48" customHeight="1">
      <x:c r="A314" s="25" t="n">
        <x:v>12</x:v>
      </x:c>
      <x:c r="B314" s="25" t="str">
        <x:v>content.subsections[1].paragraphs[0]</x:v>
      </x:c>
      <x:c r="C314" s="25" t="str">
        <x:v>Module 12 subsection 2 paragraph 1</x:v>
      </x:c>
      <x:c r="D314" s="25" t="str">
        <x:v>Company vehicle drivers must hold a valid licence and comply with traffic laws. Fuel and toll expenses incurred for business travel/meetings may be claimed by the 25th monthly cut-off.</x:v>
      </x:c>
      <x:c r="E314" s="27" t="str"/>
      <x:c r="F314" s="25" t="str">
        <x:f>IF(E314="","Missing",IF(TRIM(E314)=TRIM(D314),"Review: same as English","Translated"))</x:f>
        <x:v>Missing</x:v>
      </x:c>
      <x:c r="G314" s="27" t="str"/>
      <x:c r="H314" s="25" t="str">
        <x:f>IF(G314="","Missing",IF(TRIM(G314)=TRIM(D314),"Review: same as English","Translated"))</x:f>
        <x:v>Missing</x:v>
      </x:c>
      <x:c r="I314" s="27" t="str">
        <x:v>No Malay or Chinese module currently exists in the application.</x:v>
      </x:c>
    </x:row>
    <x:row r="315" ht="20" customHeight="1">
      <x:c r="A315" s="25" t="n">
        <x:v>12</x:v>
      </x:c>
      <x:c r="B315" s="25" t="str">
        <x:v>content.subsections[2].title</x:v>
      </x:c>
      <x:c r="C315" s="25" t="str">
        <x:v>Module 12 subsection 3 title</x:v>
      </x:c>
      <x:c r="D315" s="25" t="str">
        <x:v>3. OFFICE FACILITIES &amp; MEETING ROOMS</x:v>
      </x:c>
      <x:c r="E315" s="27" t="str"/>
      <x:c r="F315" s="25" t="str">
        <x:f>IF(E315="","Missing",IF(TRIM(E315)=TRIM(D315),"Review: same as English","Translated"))</x:f>
        <x:v>Missing</x:v>
      </x:c>
      <x:c r="G315" s="27" t="str"/>
      <x:c r="H315" s="25" t="str">
        <x:f>IF(G315="","Missing",IF(TRIM(G315)=TRIM(D315),"Review: same as English","Translated"))</x:f>
        <x:v>Missing</x:v>
      </x:c>
      <x:c r="I315" s="27" t="str">
        <x:v>No Malay or Chinese module currently exists in the application.</x:v>
      </x:c>
    </x:row>
    <x:row r="316" ht="48" customHeight="1">
      <x:c r="A316" s="25" t="n">
        <x:v>12</x:v>
      </x:c>
      <x:c r="B316" s="25" t="str">
        <x:v>content.subsections[2].paragraphs[0]</x:v>
      </x:c>
      <x:c r="C316" s="25" t="str">
        <x:v>Module 12 subsection 3 paragraph 1</x:v>
      </x:c>
      <x:c r="D316" s="25" t="str">
        <x:v>Pantry, workstations, meeting rooms, and parking facilities must be kept clean and used responsibly. Meeting rooms must be reserved in advance.</x:v>
      </x:c>
      <x:c r="E316" s="27" t="str"/>
      <x:c r="F316" s="25" t="str">
        <x:f>IF(E316="","Missing",IF(TRIM(E316)=TRIM(D316),"Review: same as English","Translated"))</x:f>
        <x:v>Missing</x:v>
      </x:c>
      <x:c r="G316" s="27" t="str"/>
      <x:c r="H316" s="25" t="str">
        <x:f>IF(G316="","Missing",IF(TRIM(G316)=TRIM(D316),"Review: same as English","Translated"))</x:f>
        <x:v>Missing</x:v>
      </x:c>
      <x:c r="I316" s="27" t="str">
        <x:v>No Malay or Chinese module currently exists in the application.</x:v>
      </x:c>
    </x:row>
    <x:row r="317" ht="34" customHeight="1">
      <x:c r="A317" s="25" t="n">
        <x:v>12</x:v>
      </x:c>
      <x:c r="B317" s="25" t="str">
        <x:v>content.keyTakeaway</x:v>
      </x:c>
      <x:c r="C317" s="25" t="str">
        <x:v>Module 12 key takeaway</x:v>
      </x:c>
      <x:c r="D317" s="25" t="str">
        <x:v>Fuel and toll claims must be submitted on or before the 25th day of each month with valid supporting receipts.</x:v>
      </x:c>
      <x:c r="E317" s="27" t="str"/>
      <x:c r="F317" s="25" t="str">
        <x:f>IF(E317="","Missing",IF(TRIM(E317)=TRIM(D317),"Review: same as English","Translated"))</x:f>
        <x:v>Missing</x:v>
      </x:c>
      <x:c r="G317" s="27" t="str"/>
      <x:c r="H317" s="25" t="str">
        <x:f>IF(G317="","Missing",IF(TRIM(G317)=TRIM(D317),"Review: same as English","Translated"))</x:f>
        <x:v>Missing</x:v>
      </x:c>
      <x:c r="I317" s="27" t="str">
        <x:v>No Malay or Chinese module currently exists in the application.</x:v>
      </x:c>
    </x:row>
    <x:row r="318" ht="20" customHeight="1">
      <x:c r="A318" s="25" t="n">
        <x:v>13</x:v>
      </x:c>
      <x:c r="B318" s="25" t="str">
        <x:v>title</x:v>
      </x:c>
      <x:c r="C318" s="25" t="str">
        <x:v>Module 13 title</x:v>
      </x:c>
      <x:c r="D318" s="25" t="str">
        <x:v>Part 13 – Discipline &amp; Grievance</x:v>
      </x:c>
      <x:c r="E318" s="27" t="str"/>
      <x:c r="F318" s="25" t="str">
        <x:f>IF(E318="","Missing",IF(TRIM(E318)=TRIM(D318),"Review: same as English","Translated"))</x:f>
        <x:v>Missing</x:v>
      </x:c>
      <x:c r="G318" s="27" t="str"/>
      <x:c r="H318" s="25" t="str">
        <x:f>IF(G318="","Missing",IF(TRIM(G318)=TRIM(D318),"Review: same as English","Translated"))</x:f>
        <x:v>Missing</x:v>
      </x:c>
      <x:c r="I318" s="27" t="str">
        <x:v>No Malay or Chinese module currently exists in the application.</x:v>
      </x:c>
    </x:row>
    <x:row r="319" ht="34" customHeight="1">
      <x:c r="A319" s="25" t="n">
        <x:v>13</x:v>
      </x:c>
      <x:c r="B319" s="25" t="str">
        <x:v>subtitle</x:v>
      </x:c>
      <x:c r="C319" s="25" t="str">
        <x:v>Module 13 subtitle</x:v>
      </x:c>
      <x:c r="D319" s="25" t="str">
        <x:v>Grievance procedure, complaint handling, show cause letter, domestic inquiry &amp; disciplinary matrix</x:v>
      </x:c>
      <x:c r="E319" s="27" t="str"/>
      <x:c r="F319" s="25" t="str">
        <x:f>IF(E319="","Missing",IF(TRIM(E319)=TRIM(D319),"Review: same as English","Translated"))</x:f>
        <x:v>Missing</x:v>
      </x:c>
      <x:c r="G319" s="27" t="str"/>
      <x:c r="H319" s="25" t="str">
        <x:f>IF(G319="","Missing",IF(TRIM(G319)=TRIM(D319),"Review: same as English","Translated"))</x:f>
        <x:v>Missing</x:v>
      </x:c>
      <x:c r="I319" s="27" t="str">
        <x:v>No Malay or Chinese module currently exists in the application.</x:v>
      </x:c>
    </x:row>
    <x:row r="320" ht="20" customHeight="1">
      <x:c r="A320" s="25" t="n">
        <x:v>13</x:v>
      </x:c>
      <x:c r="B320" s="25" t="str">
        <x:v>content.sectionTitle</x:v>
      </x:c>
      <x:c r="C320" s="25" t="str">
        <x:v>Module 13 section heading</x:v>
      </x:c>
      <x:c r="D320" s="25" t="str">
        <x:v>PART 13 – DISCIPLINE &amp; GRIEVANCE</x:v>
      </x:c>
      <x:c r="E320" s="27" t="str"/>
      <x:c r="F320" s="25" t="str">
        <x:f>IF(E320="","Missing",IF(TRIM(E320)=TRIM(D320),"Review: same as English","Translated"))</x:f>
        <x:v>Missing</x:v>
      </x:c>
      <x:c r="G320" s="27" t="str"/>
      <x:c r="H320" s="25" t="str">
        <x:f>IF(G320="","Missing",IF(TRIM(G320)=TRIM(D320),"Review: same as English","Translated"))</x:f>
        <x:v>Missing</x:v>
      </x:c>
      <x:c r="I320" s="27" t="str">
        <x:v>No Malay or Chinese module currently exists in the application.</x:v>
      </x:c>
    </x:row>
    <x:row r="321" ht="34" customHeight="1">
      <x:c r="A321" s="25" t="n">
        <x:v>13</x:v>
      </x:c>
      <x:c r="B321" s="25" t="str">
        <x:v>content.bodyParagraphs[0]</x:v>
      </x:c>
      <x:c r="C321" s="25" t="str">
        <x:v>Module 13 opening paragraph 1</x:v>
      </x:c>
      <x:c r="D321" s="25" t="str">
        <x:v>RedPoint Sdn Bhd handles disciplinary matters and grievances fairly, consistently, and in accordance with principles of natural justice.</x:v>
      </x:c>
      <x:c r="E321" s="27" t="str"/>
      <x:c r="F321" s="25" t="str">
        <x:f>IF(E321="","Missing",IF(TRIM(E321)=TRIM(D321),"Review: same as English","Translated"))</x:f>
        <x:v>Missing</x:v>
      </x:c>
      <x:c r="G321" s="27" t="str"/>
      <x:c r="H321" s="25" t="str">
        <x:f>IF(G321="","Missing",IF(TRIM(G321)=TRIM(D321),"Review: same as English","Translated"))</x:f>
        <x:v>Missing</x:v>
      </x:c>
      <x:c r="I321" s="27" t="str">
        <x:v>No Malay or Chinese module currently exists in the application.</x:v>
      </x:c>
    </x:row>
    <x:row r="322" ht="20" customHeight="1">
      <x:c r="A322" s="25" t="n">
        <x:v>13</x:v>
      </x:c>
      <x:c r="B322" s="25" t="str">
        <x:v>content.subsections[0].title</x:v>
      </x:c>
      <x:c r="C322" s="25" t="str">
        <x:v>Module 13 subsection 1 title</x:v>
      </x:c>
      <x:c r="D322" s="25" t="str">
        <x:v>1. GRIEVANCE &amp; COMPLAINT PROCEDURES</x:v>
      </x:c>
      <x:c r="E322" s="27" t="str"/>
      <x:c r="F322" s="25" t="str">
        <x:f>IF(E322="","Missing",IF(TRIM(E322)=TRIM(D322),"Review: same as English","Translated"))</x:f>
        <x:v>Missing</x:v>
      </x:c>
      <x:c r="G322" s="27" t="str"/>
      <x:c r="H322" s="25" t="str">
        <x:f>IF(G322="","Missing",IF(TRIM(G322)=TRIM(D322),"Review: same as English","Translated"))</x:f>
        <x:v>Missing</x:v>
      </x:c>
      <x:c r="I322" s="27" t="str">
        <x:v>No Malay or Chinese module currently exists in the application.</x:v>
      </x:c>
    </x:row>
    <x:row r="323" ht="34" customHeight="1">
      <x:c r="A323" s="25" t="n">
        <x:v>13</x:v>
      </x:c>
      <x:c r="B323" s="25" t="str">
        <x:v>content.subsections[0].paragraphs[0]</x:v>
      </x:c>
      <x:c r="C323" s="25" t="str">
        <x:v>Module 13 subsection 1 paragraph 1</x:v>
      </x:c>
      <x:c r="D323" s="25" t="str">
        <x:v>Grievance Steps: Step 1 Discussion with Supervisor → Step 2 Escalation to HR → Step 3 HR Investigation → Step 4 Management Resolution.</x:v>
      </x:c>
      <x:c r="E323" s="27" t="str"/>
      <x:c r="F323" s="25" t="str">
        <x:f>IF(E323="","Missing",IF(TRIM(E323)=TRIM(D323),"Review: same as English","Translated"))</x:f>
        <x:v>Missing</x:v>
      </x:c>
      <x:c r="G323" s="27" t="str"/>
      <x:c r="H323" s="25" t="str">
        <x:f>IF(G323="","Missing",IF(TRIM(G323)=TRIM(D323),"Review: same as English","Translated"))</x:f>
        <x:v>Missing</x:v>
      </x:c>
      <x:c r="I323" s="27" t="str">
        <x:v>No Malay or Chinese module currently exists in the application.</x:v>
      </x:c>
    </x:row>
    <x:row r="324" ht="20" customHeight="1">
      <x:c r="A324" s="25" t="n">
        <x:v>13</x:v>
      </x:c>
      <x:c r="B324" s="25" t="str">
        <x:v>content.subsections[1].title</x:v>
      </x:c>
      <x:c r="C324" s="25" t="str">
        <x:v>Module 13 subsection 2 title</x:v>
      </x:c>
      <x:c r="D324" s="25" t="str">
        <x:v>2. DISCIPLINARY PROCEDURE (6-STEP PROGRESSION)</x:v>
      </x:c>
      <x:c r="E324" s="27" t="str"/>
      <x:c r="F324" s="25" t="str">
        <x:f>IF(E324="","Missing",IF(TRIM(E324)=TRIM(D324),"Review: same as English","Translated"))</x:f>
        <x:v>Missing</x:v>
      </x:c>
      <x:c r="G324" s="27" t="str"/>
      <x:c r="H324" s="25" t="str">
        <x:f>IF(G324="","Missing",IF(TRIM(G324)=TRIM(D324),"Review: same as English","Translated"))</x:f>
        <x:v>Missing</x:v>
      </x:c>
      <x:c r="I324" s="27" t="str">
        <x:v>No Malay or Chinese module currently exists in the application.</x:v>
      </x:c>
    </x:row>
    <x:row r="325" ht="20" customHeight="1">
      <x:c r="A325" s="25" t="n">
        <x:v>13</x:v>
      </x:c>
      <x:c r="B325" s="25" t="str">
        <x:v>content.subsections[1].paragraphs[0]</x:v>
      </x:c>
      <x:c r="C325" s="25" t="str">
        <x:v>Module 13 subsection 2 paragraph 1</x:v>
      </x:c>
      <x:c r="D325" s="25" t="str">
        <x:v>Step 1: Counselling or Coaching</x:v>
      </x:c>
      <x:c r="E325" s="27" t="str"/>
      <x:c r="F325" s="25" t="str">
        <x:f>IF(E325="","Missing",IF(TRIM(E325)=TRIM(D325),"Review: same as English","Translated"))</x:f>
        <x:v>Missing</x:v>
      </x:c>
      <x:c r="G325" s="27" t="str"/>
      <x:c r="H325" s="25" t="str">
        <x:f>IF(G325="","Missing",IF(TRIM(G325)=TRIM(D325),"Review: same as English","Translated"))</x:f>
        <x:v>Missing</x:v>
      </x:c>
      <x:c r="I325" s="27" t="str">
        <x:v>No Malay or Chinese module currently exists in the application.</x:v>
      </x:c>
    </x:row>
    <x:row r="326" ht="20" customHeight="1">
      <x:c r="A326" s="25" t="n">
        <x:v>13</x:v>
      </x:c>
      <x:c r="B326" s="25" t="str">
        <x:v>content.subsections[1].paragraphs[1]</x:v>
      </x:c>
      <x:c r="C326" s="25" t="str">
        <x:v>Module 13 subsection 2 paragraph 2</x:v>
      </x:c>
      <x:c r="D326" s="25" t="str">
        <x:v>Step 2: Verbal Warning</x:v>
      </x:c>
      <x:c r="E326" s="27" t="str"/>
      <x:c r="F326" s="25" t="str">
        <x:f>IF(E326="","Missing",IF(TRIM(E326)=TRIM(D326),"Review: same as English","Translated"))</x:f>
        <x:v>Missing</x:v>
      </x:c>
      <x:c r="G326" s="27" t="str"/>
      <x:c r="H326" s="25" t="str">
        <x:f>IF(G326="","Missing",IF(TRIM(G326)=TRIM(D326),"Review: same as English","Translated"))</x:f>
        <x:v>Missing</x:v>
      </x:c>
      <x:c r="I326" s="27" t="str">
        <x:v>No Malay or Chinese module currently exists in the application.</x:v>
      </x:c>
    </x:row>
    <x:row r="327" ht="20" customHeight="1">
      <x:c r="A327" s="25" t="n">
        <x:v>13</x:v>
      </x:c>
      <x:c r="B327" s="25" t="str">
        <x:v>content.subsections[1].paragraphs[2]</x:v>
      </x:c>
      <x:c r="C327" s="25" t="str">
        <x:v>Module 13 subsection 2 paragraph 3</x:v>
      </x:c>
      <x:c r="D327" s="25" t="str">
        <x:v>Step 3: First Written Warning</x:v>
      </x:c>
      <x:c r="E327" s="27" t="str"/>
      <x:c r="F327" s="25" t="str">
        <x:f>IF(E327="","Missing",IF(TRIM(E327)=TRIM(D327),"Review: same as English","Translated"))</x:f>
        <x:v>Missing</x:v>
      </x:c>
      <x:c r="G327" s="27" t="str"/>
      <x:c r="H327" s="25" t="str">
        <x:f>IF(G327="","Missing",IF(TRIM(G327)=TRIM(D327),"Review: same as English","Translated"))</x:f>
        <x:v>Missing</x:v>
      </x:c>
      <x:c r="I327" s="27" t="str">
        <x:v>No Malay or Chinese module currently exists in the application.</x:v>
      </x:c>
    </x:row>
    <x:row r="328" ht="20" customHeight="1">
      <x:c r="A328" s="25" t="n">
        <x:v>13</x:v>
      </x:c>
      <x:c r="B328" s="25" t="str">
        <x:v>content.subsections[1].paragraphs[3]</x:v>
      </x:c>
      <x:c r="C328" s="25" t="str">
        <x:v>Module 13 subsection 2 paragraph 4</x:v>
      </x:c>
      <x:c r="D328" s="25" t="str">
        <x:v>Step 4: Final Written Warning</x:v>
      </x:c>
      <x:c r="E328" s="27" t="str"/>
      <x:c r="F328" s="25" t="str">
        <x:f>IF(E328="","Missing",IF(TRIM(E328)=TRIM(D328),"Review: same as English","Translated"))</x:f>
        <x:v>Missing</x:v>
      </x:c>
      <x:c r="G328" s="27" t="str"/>
      <x:c r="H328" s="25" t="str">
        <x:f>IF(G328="","Missing",IF(TRIM(G328)=TRIM(D328),"Review: same as English","Translated"))</x:f>
        <x:v>Missing</x:v>
      </x:c>
      <x:c r="I328" s="27" t="str">
        <x:v>No Malay or Chinese module currently exists in the application.</x:v>
      </x:c>
    </x:row>
    <x:row r="329" ht="20" customHeight="1">
      <x:c r="A329" s="25" t="n">
        <x:v>13</x:v>
      </x:c>
      <x:c r="B329" s="25" t="str">
        <x:v>content.subsections[1].paragraphs[4]</x:v>
      </x:c>
      <x:c r="C329" s="25" t="str">
        <x:v>Module 13 subsection 2 paragraph 5</x:v>
      </x:c>
      <x:c r="D329" s="25" t="str">
        <x:v>Step 5: Suspension (With or Without Pay)</x:v>
      </x:c>
      <x:c r="E329" s="27" t="str"/>
      <x:c r="F329" s="25" t="str">
        <x:f>IF(E329="","Missing",IF(TRIM(E329)=TRIM(D329),"Review: same as English","Translated"))</x:f>
        <x:v>Missing</x:v>
      </x:c>
      <x:c r="G329" s="27" t="str"/>
      <x:c r="H329" s="25" t="str">
        <x:f>IF(G329="","Missing",IF(TRIM(G329)=TRIM(D329),"Review: same as English","Translated"))</x:f>
        <x:v>Missing</x:v>
      </x:c>
      <x:c r="I329" s="27" t="str">
        <x:v>No Malay or Chinese module currently exists in the application.</x:v>
      </x:c>
    </x:row>
    <x:row r="330" ht="20" customHeight="1">
      <x:c r="A330" s="25" t="n">
        <x:v>13</x:v>
      </x:c>
      <x:c r="B330" s="25" t="str">
        <x:v>content.subsections[1].paragraphs[5]</x:v>
      </x:c>
      <x:c r="C330" s="25" t="str">
        <x:v>Module 13 subsection 2 paragraph 6</x:v>
      </x:c>
      <x:c r="D330" s="25" t="str">
        <x:v>Step 6: Termination of Employment</x:v>
      </x:c>
      <x:c r="E330" s="27" t="str"/>
      <x:c r="F330" s="25" t="str">
        <x:f>IF(E330="","Missing",IF(TRIM(E330)=TRIM(D330),"Review: same as English","Translated"))</x:f>
        <x:v>Missing</x:v>
      </x:c>
      <x:c r="G330" s="27" t="str"/>
      <x:c r="H330" s="25" t="str">
        <x:f>IF(G330="","Missing",IF(TRIM(G330)=TRIM(D330),"Review: same as English","Translated"))</x:f>
        <x:v>Missing</x:v>
      </x:c>
      <x:c r="I330" s="27" t="str">
        <x:v>No Malay or Chinese module currently exists in the application.</x:v>
      </x:c>
    </x:row>
    <x:row r="331" ht="20" customHeight="1">
      <x:c r="A331" s="25" t="n">
        <x:v>13</x:v>
      </x:c>
      <x:c r="B331" s="25" t="str">
        <x:v>content.subsections[2].title</x:v>
      </x:c>
      <x:c r="C331" s="25" t="str">
        <x:v>Module 13 subsection 3 title</x:v>
      </x:c>
      <x:c r="D331" s="25" t="str">
        <x:v>3. DISCIPLINARY MATRIX (GENERAL GUIDELINE)</x:v>
      </x:c>
      <x:c r="E331" s="27" t="str"/>
      <x:c r="F331" s="25" t="str">
        <x:f>IF(E331="","Missing",IF(TRIM(E331)=TRIM(D331),"Review: same as English","Translated"))</x:f>
        <x:v>Missing</x:v>
      </x:c>
      <x:c r="G331" s="27" t="str"/>
      <x:c r="H331" s="25" t="str">
        <x:f>IF(G331="","Missing",IF(TRIM(G331)=TRIM(D331),"Review: same as English","Translated"))</x:f>
        <x:v>Missing</x:v>
      </x:c>
      <x:c r="I331" s="27" t="str">
        <x:v>No Malay or Chinese module currently exists in the application.</x:v>
      </x:c>
    </x:row>
    <x:row r="332" ht="20" customHeight="1">
      <x:c r="A332" s="25" t="n">
        <x:v>13</x:v>
      </x:c>
      <x:c r="B332" s="25" t="str">
        <x:v>content.subsections[2].paragraphs[0]</x:v>
      </x:c>
      <x:c r="C332" s="25" t="str">
        <x:v>Module 13 subsection 3 paragraph 1</x:v>
      </x:c>
      <x:c r="D332" s="25" t="str">
        <x:v>Disciplinary Matrix summary:</x:v>
      </x:c>
      <x:c r="E332" s="27" t="str"/>
      <x:c r="F332" s="25" t="str">
        <x:f>IF(E332="","Missing",IF(TRIM(E332)=TRIM(D332),"Review: same as English","Translated"))</x:f>
        <x:v>Missing</x:v>
      </x:c>
      <x:c r="G332" s="27" t="str"/>
      <x:c r="H332" s="25" t="str">
        <x:f>IF(G332="","Missing",IF(TRIM(G332)=TRIM(D332),"Review: same as English","Translated"))</x:f>
        <x:v>Missing</x:v>
      </x:c>
      <x:c r="I332" s="27" t="str">
        <x:v>No Malay or Chinese module currently exists in the application.</x:v>
      </x:c>
    </x:row>
    <x:row r="333" ht="20" customHeight="1">
      <x:c r="A333" s="25" t="n">
        <x:v>13</x:v>
      </x:c>
      <x:c r="B333" s="25" t="str">
        <x:v>content.subsections[2].table.headers[0]</x:v>
      </x:c>
      <x:c r="C333" s="25" t="str">
        <x:v>Module 13 subsection 3 table header 1</x:v>
      </x:c>
      <x:c r="D333" s="25" t="str">
        <x:v>Offence</x:v>
      </x:c>
      <x:c r="E333" s="27" t="str"/>
      <x:c r="F333" s="25" t="str">
        <x:f>IF(E333="","Missing",IF(TRIM(E333)=TRIM(D333),"Review: same as English","Translated"))</x:f>
        <x:v>Missing</x:v>
      </x:c>
      <x:c r="G333" s="27" t="str"/>
      <x:c r="H333" s="25" t="str">
        <x:f>IF(G333="","Missing",IF(TRIM(G333)=TRIM(D333),"Review: same as English","Translated"))</x:f>
        <x:v>Missing</x:v>
      </x:c>
      <x:c r="I333" s="27" t="str">
        <x:v>No Malay or Chinese module currently exists in the application.</x:v>
      </x:c>
    </x:row>
    <x:row r="334" ht="20" customHeight="1">
      <x:c r="A334" s="25" t="n">
        <x:v>13</x:v>
      </x:c>
      <x:c r="B334" s="25" t="str">
        <x:v>content.subsections[2].table.headers[1]</x:v>
      </x:c>
      <x:c r="C334" s="25" t="str">
        <x:v>Module 13 subsection 3 table header 2</x:v>
      </x:c>
      <x:c r="D334" s="25" t="str">
        <x:v>First Occurrence</x:v>
      </x:c>
      <x:c r="E334" s="27" t="str"/>
      <x:c r="F334" s="25" t="str">
        <x:f>IF(E334="","Missing",IF(TRIM(E334)=TRIM(D334),"Review: same as English","Translated"))</x:f>
        <x:v>Missing</x:v>
      </x:c>
      <x:c r="G334" s="27" t="str"/>
      <x:c r="H334" s="25" t="str">
        <x:f>IF(G334="","Missing",IF(TRIM(G334)=TRIM(D334),"Review: same as English","Translated"))</x:f>
        <x:v>Missing</x:v>
      </x:c>
      <x:c r="I334" s="27" t="str">
        <x:v>No Malay or Chinese module currently exists in the application.</x:v>
      </x:c>
    </x:row>
    <x:row r="335" ht="20" customHeight="1">
      <x:c r="A335" s="25" t="n">
        <x:v>13</x:v>
      </x:c>
      <x:c r="B335" s="25" t="str">
        <x:v>content.subsections[2].table.headers[2]</x:v>
      </x:c>
      <x:c r="C335" s="25" t="str">
        <x:v>Module 13 subsection 3 table header 3</x:v>
      </x:c>
      <x:c r="D335" s="25" t="str">
        <x:v>Repeated Occurrence</x:v>
      </x:c>
      <x:c r="E335" s="27" t="str"/>
      <x:c r="F335" s="25" t="str">
        <x:f>IF(E335="","Missing",IF(TRIM(E335)=TRIM(D335),"Review: same as English","Translated"))</x:f>
        <x:v>Missing</x:v>
      </x:c>
      <x:c r="G335" s="27" t="str"/>
      <x:c r="H335" s="25" t="str">
        <x:f>IF(G335="","Missing",IF(TRIM(G335)=TRIM(D335),"Review: same as English","Translated"))</x:f>
        <x:v>Missing</x:v>
      </x:c>
      <x:c r="I335" s="27" t="str">
        <x:v>No Malay or Chinese module currently exists in the application.</x:v>
      </x:c>
    </x:row>
    <x:row r="336" ht="20" customHeight="1">
      <x:c r="A336" s="25" t="n">
        <x:v>13</x:v>
      </x:c>
      <x:c r="B336" s="25" t="str">
        <x:v>content.subsections[2].table.rows[0][0]</x:v>
      </x:c>
      <x:c r="C336" s="25" t="str">
        <x:v>Module 13 subsection 3 table row 1, column 1</x:v>
      </x:c>
      <x:c r="D336" s="25" t="str">
        <x:v>Late Coming</x:v>
      </x:c>
      <x:c r="E336" s="27" t="str"/>
      <x:c r="F336" s="25" t="str">
        <x:f>IF(E336="","Missing",IF(TRIM(E336)=TRIM(D336),"Review: same as English","Translated"))</x:f>
        <x:v>Missing</x:v>
      </x:c>
      <x:c r="G336" s="27" t="str"/>
      <x:c r="H336" s="25" t="str">
        <x:f>IF(G336="","Missing",IF(TRIM(G336)=TRIM(D336),"Review: same as English","Translated"))</x:f>
        <x:v>Missing</x:v>
      </x:c>
      <x:c r="I336" s="27" t="str">
        <x:v>No Malay or Chinese module currently exists in the application.</x:v>
      </x:c>
    </x:row>
    <x:row r="337" ht="20" customHeight="1">
      <x:c r="A337" s="25" t="n">
        <x:v>13</x:v>
      </x:c>
      <x:c r="B337" s="25" t="str">
        <x:v>content.subsections[2].table.rows[0][1]</x:v>
      </x:c>
      <x:c r="C337" s="25" t="str">
        <x:v>Module 13 subsection 3 table row 1, column 2</x:v>
      </x:c>
      <x:c r="D337" s="25" t="str">
        <x:v>Verbal Reminder</x:v>
      </x:c>
      <x:c r="E337" s="27" t="str"/>
      <x:c r="F337" s="25" t="str">
        <x:f>IF(E337="","Missing",IF(TRIM(E337)=TRIM(D337),"Review: same as English","Translated"))</x:f>
        <x:v>Missing</x:v>
      </x:c>
      <x:c r="G337" s="27" t="str"/>
      <x:c r="H337" s="25" t="str">
        <x:f>IF(G337="","Missing",IF(TRIM(G337)=TRIM(D337),"Review: same as English","Translated"))</x:f>
        <x:v>Missing</x:v>
      </x:c>
      <x:c r="I337" s="27" t="str">
        <x:v>No Malay or Chinese module currently exists in the application.</x:v>
      </x:c>
    </x:row>
    <x:row r="338" ht="20" customHeight="1">
      <x:c r="A338" s="25" t="n">
        <x:v>13</x:v>
      </x:c>
      <x:c r="B338" s="25" t="str">
        <x:v>content.subsections[2].table.rows[0][2]</x:v>
      </x:c>
      <x:c r="C338" s="25" t="str">
        <x:v>Module 13 subsection 3 table row 1, column 3</x:v>
      </x:c>
      <x:c r="D338" s="25" t="str">
        <x:v>Written Warning</x:v>
      </x:c>
      <x:c r="E338" s="27" t="str"/>
      <x:c r="F338" s="25" t="str">
        <x:f>IF(E338="","Missing",IF(TRIM(E338)=TRIM(D338),"Review: same as English","Translated"))</x:f>
        <x:v>Missing</x:v>
      </x:c>
      <x:c r="G338" s="27" t="str"/>
      <x:c r="H338" s="25" t="str">
        <x:f>IF(G338="","Missing",IF(TRIM(G338)=TRIM(D338),"Review: same as English","Translated"))</x:f>
        <x:v>Missing</x:v>
      </x:c>
      <x:c r="I338" s="27" t="str">
        <x:v>No Malay or Chinese module currently exists in the application.</x:v>
      </x:c>
    </x:row>
    <x:row r="339" ht="20" customHeight="1">
      <x:c r="A339" s="25" t="n">
        <x:v>13</x:v>
      </x:c>
      <x:c r="B339" s="25" t="str">
        <x:v>content.subsections[2].table.rows[1][0]</x:v>
      </x:c>
      <x:c r="C339" s="25" t="str">
        <x:v>Module 13 subsection 3 table row 2, column 1</x:v>
      </x:c>
      <x:c r="D339" s="25" t="str">
        <x:v>Unauthorised Absence</x:v>
      </x:c>
      <x:c r="E339" s="27" t="str"/>
      <x:c r="F339" s="25" t="str">
        <x:f>IF(E339="","Missing",IF(TRIM(E339)=TRIM(D339),"Review: same as English","Translated"))</x:f>
        <x:v>Missing</x:v>
      </x:c>
      <x:c r="G339" s="27" t="str"/>
      <x:c r="H339" s="25" t="str">
        <x:f>IF(G339="","Missing",IF(TRIM(G339)=TRIM(D339),"Review: same as English","Translated"))</x:f>
        <x:v>Missing</x:v>
      </x:c>
      <x:c r="I339" s="27" t="str">
        <x:v>No Malay or Chinese module currently exists in the application.</x:v>
      </x:c>
    </x:row>
    <x:row r="340" ht="20" customHeight="1">
      <x:c r="A340" s="25" t="n">
        <x:v>13</x:v>
      </x:c>
      <x:c r="B340" s="25" t="str">
        <x:v>content.subsections[2].table.rows[1][1]</x:v>
      </x:c>
      <x:c r="C340" s="25" t="str">
        <x:v>Module 13 subsection 3 table row 2, column 2</x:v>
      </x:c>
      <x:c r="D340" s="25" t="str">
        <x:v>Written Warning</x:v>
      </x:c>
      <x:c r="E340" s="27" t="str"/>
      <x:c r="F340" s="25" t="str">
        <x:f>IF(E340="","Missing",IF(TRIM(E340)=TRIM(D340),"Review: same as English","Translated"))</x:f>
        <x:v>Missing</x:v>
      </x:c>
      <x:c r="G340" s="27" t="str"/>
      <x:c r="H340" s="25" t="str">
        <x:f>IF(G340="","Missing",IF(TRIM(G340)=TRIM(D340),"Review: same as English","Translated"))</x:f>
        <x:v>Missing</x:v>
      </x:c>
      <x:c r="I340" s="27" t="str">
        <x:v>No Malay or Chinese module currently exists in the application.</x:v>
      </x:c>
    </x:row>
    <x:row r="341" ht="20" customHeight="1">
      <x:c r="A341" s="25" t="n">
        <x:v>13</x:v>
      </x:c>
      <x:c r="B341" s="25" t="str">
        <x:v>content.subsections[2].table.rows[1][2]</x:v>
      </x:c>
      <x:c r="C341" s="25" t="str">
        <x:v>Module 13 subsection 3 table row 2, column 3</x:v>
      </x:c>
      <x:c r="D341" s="25" t="str">
        <x:v>Final Warning</x:v>
      </x:c>
      <x:c r="E341" s="27" t="str"/>
      <x:c r="F341" s="25" t="str">
        <x:f>IF(E341="","Missing",IF(TRIM(E341)=TRIM(D341),"Review: same as English","Translated"))</x:f>
        <x:v>Missing</x:v>
      </x:c>
      <x:c r="G341" s="27" t="str"/>
      <x:c r="H341" s="25" t="str">
        <x:f>IF(G341="","Missing",IF(TRIM(G341)=TRIM(D341),"Review: same as English","Translated"))</x:f>
        <x:v>Missing</x:v>
      </x:c>
      <x:c r="I341" s="27" t="str">
        <x:v>No Malay or Chinese module currently exists in the application.</x:v>
      </x:c>
    </x:row>
    <x:row r="342" ht="20" customHeight="1">
      <x:c r="A342" s="25" t="n">
        <x:v>13</x:v>
      </x:c>
      <x:c r="B342" s="25" t="str">
        <x:v>content.subsections[2].table.rows[2][0]</x:v>
      </x:c>
      <x:c r="C342" s="25" t="str">
        <x:v>Module 13 subsection 3 table row 3, column 1</x:v>
      </x:c>
      <x:c r="D342" s="25" t="str">
        <x:v>Failure to Follow Instructions</x:v>
      </x:c>
      <x:c r="E342" s="27" t="str"/>
      <x:c r="F342" s="25" t="str">
        <x:f>IF(E342="","Missing",IF(TRIM(E342)=TRIM(D342),"Review: same as English","Translated"))</x:f>
        <x:v>Missing</x:v>
      </x:c>
      <x:c r="G342" s="27" t="str"/>
      <x:c r="H342" s="25" t="str">
        <x:f>IF(G342="","Missing",IF(TRIM(G342)=TRIM(D342),"Review: same as English","Translated"))</x:f>
        <x:v>Missing</x:v>
      </x:c>
      <x:c r="I342" s="27" t="str">
        <x:v>No Malay or Chinese module currently exists in the application.</x:v>
      </x:c>
    </x:row>
    <x:row r="343" ht="20" customHeight="1">
      <x:c r="A343" s="25" t="n">
        <x:v>13</x:v>
      </x:c>
      <x:c r="B343" s="25" t="str">
        <x:v>content.subsections[2].table.rows[2][1]</x:v>
      </x:c>
      <x:c r="C343" s="25" t="str">
        <x:v>Module 13 subsection 3 table row 3, column 2</x:v>
      </x:c>
      <x:c r="D343" s="25" t="str">
        <x:v>Written Warning</x:v>
      </x:c>
      <x:c r="E343" s="27" t="str"/>
      <x:c r="F343" s="25" t="str">
        <x:f>IF(E343="","Missing",IF(TRIM(E343)=TRIM(D343),"Review: same as English","Translated"))</x:f>
        <x:v>Missing</x:v>
      </x:c>
      <x:c r="G343" s="27" t="str"/>
      <x:c r="H343" s="25" t="str">
        <x:f>IF(G343="","Missing",IF(TRIM(G343)=TRIM(D343),"Review: same as English","Translated"))</x:f>
        <x:v>Missing</x:v>
      </x:c>
      <x:c r="I343" s="27" t="str">
        <x:v>No Malay or Chinese module currently exists in the application.</x:v>
      </x:c>
    </x:row>
    <x:row r="344" ht="20" customHeight="1">
      <x:c r="A344" s="25" t="n">
        <x:v>13</x:v>
      </x:c>
      <x:c r="B344" s="25" t="str">
        <x:v>content.subsections[2].table.rows[2][2]</x:v>
      </x:c>
      <x:c r="C344" s="25" t="str">
        <x:v>Module 13 subsection 3 table row 3, column 3</x:v>
      </x:c>
      <x:c r="D344" s="25" t="str">
        <x:v>Final Warning</x:v>
      </x:c>
      <x:c r="E344" s="27" t="str"/>
      <x:c r="F344" s="25" t="str">
        <x:f>IF(E344="","Missing",IF(TRIM(E344)=TRIM(D344),"Review: same as English","Translated"))</x:f>
        <x:v>Missing</x:v>
      </x:c>
      <x:c r="G344" s="27" t="str"/>
      <x:c r="H344" s="25" t="str">
        <x:f>IF(G344="","Missing",IF(TRIM(G344)=TRIM(D344),"Review: same as English","Translated"))</x:f>
        <x:v>Missing</x:v>
      </x:c>
      <x:c r="I344" s="27" t="str">
        <x:v>No Malay or Chinese module currently exists in the application.</x:v>
      </x:c>
    </x:row>
    <x:row r="345" ht="20" customHeight="1">
      <x:c r="A345" s="25" t="n">
        <x:v>13</x:v>
      </x:c>
      <x:c r="B345" s="25" t="str">
        <x:v>content.subsections[2].table.rows[3][0]</x:v>
      </x:c>
      <x:c r="C345" s="25" t="str">
        <x:v>Module 13 subsection 3 table row 4, column 1</x:v>
      </x:c>
      <x:c r="D345" s="25" t="str">
        <x:v>Misuse of Company Property</x:v>
      </x:c>
      <x:c r="E345" s="27" t="str"/>
      <x:c r="F345" s="25" t="str">
        <x:f>IF(E345="","Missing",IF(TRIM(E345)=TRIM(D345),"Review: same as English","Translated"))</x:f>
        <x:v>Missing</x:v>
      </x:c>
      <x:c r="G345" s="27" t="str"/>
      <x:c r="H345" s="25" t="str">
        <x:f>IF(G345="","Missing",IF(TRIM(G345)=TRIM(D345),"Review: same as English","Translated"))</x:f>
        <x:v>Missing</x:v>
      </x:c>
      <x:c r="I345" s="27" t="str">
        <x:v>No Malay or Chinese module currently exists in the application.</x:v>
      </x:c>
    </x:row>
    <x:row r="346" ht="20" customHeight="1">
      <x:c r="A346" s="25" t="n">
        <x:v>13</x:v>
      </x:c>
      <x:c r="B346" s="25" t="str">
        <x:v>content.subsections[2].table.rows[3][1]</x:v>
      </x:c>
      <x:c r="C346" s="25" t="str">
        <x:v>Module 13 subsection 3 table row 4, column 2</x:v>
      </x:c>
      <x:c r="D346" s="25" t="str">
        <x:v>Written Warning</x:v>
      </x:c>
      <x:c r="E346" s="27" t="str"/>
      <x:c r="F346" s="25" t="str">
        <x:f>IF(E346="","Missing",IF(TRIM(E346)=TRIM(D346),"Review: same as English","Translated"))</x:f>
        <x:v>Missing</x:v>
      </x:c>
      <x:c r="G346" s="27" t="str"/>
      <x:c r="H346" s="25" t="str">
        <x:f>IF(G346="","Missing",IF(TRIM(G346)=TRIM(D346),"Review: same as English","Translated"))</x:f>
        <x:v>Missing</x:v>
      </x:c>
      <x:c r="I346" s="27" t="str">
        <x:v>No Malay or Chinese module currently exists in the application.</x:v>
      </x:c>
    </x:row>
    <x:row r="347" ht="20" customHeight="1">
      <x:c r="A347" s="25" t="n">
        <x:v>13</x:v>
      </x:c>
      <x:c r="B347" s="25" t="str">
        <x:v>content.subsections[2].table.rows[3][2]</x:v>
      </x:c>
      <x:c r="C347" s="25" t="str">
        <x:v>Module 13 subsection 3 table row 4, column 3</x:v>
      </x:c>
      <x:c r="D347" s="25" t="str">
        <x:v>Termination (depending on severity)</x:v>
      </x:c>
      <x:c r="E347" s="27" t="str"/>
      <x:c r="F347" s="25" t="str">
        <x:f>IF(E347="","Missing",IF(TRIM(E347)=TRIM(D347),"Review: same as English","Translated"))</x:f>
        <x:v>Missing</x:v>
      </x:c>
      <x:c r="G347" s="27" t="str"/>
      <x:c r="H347" s="25" t="str">
        <x:f>IF(G347="","Missing",IF(TRIM(G347)=TRIM(D347),"Review: same as English","Translated"))</x:f>
        <x:v>Missing</x:v>
      </x:c>
      <x:c r="I347" s="27" t="str">
        <x:v>No Malay or Chinese module currently exists in the application.</x:v>
      </x:c>
    </x:row>
    <x:row r="348" ht="20" customHeight="1">
      <x:c r="A348" s="25" t="n">
        <x:v>13</x:v>
      </x:c>
      <x:c r="B348" s="25" t="str">
        <x:v>content.subsections[2].table.rows[4][0]</x:v>
      </x:c>
      <x:c r="C348" s="25" t="str">
        <x:v>Module 13 subsection 3 table row 5, column 1</x:v>
      </x:c>
      <x:c r="D348" s="25" t="str">
        <x:v>Falsification of Documents</x:v>
      </x:c>
      <x:c r="E348" s="27" t="str"/>
      <x:c r="F348" s="25" t="str">
        <x:f>IF(E348="","Missing",IF(TRIM(E348)=TRIM(D348),"Review: same as English","Translated"))</x:f>
        <x:v>Missing</x:v>
      </x:c>
      <x:c r="G348" s="27" t="str"/>
      <x:c r="H348" s="25" t="str">
        <x:f>IF(G348="","Missing",IF(TRIM(G348)=TRIM(D348),"Review: same as English","Translated"))</x:f>
        <x:v>Missing</x:v>
      </x:c>
      <x:c r="I348" s="27" t="str">
        <x:v>No Malay or Chinese module currently exists in the application.</x:v>
      </x:c>
    </x:row>
    <x:row r="349" ht="20" customHeight="1">
      <x:c r="A349" s="25" t="n">
        <x:v>13</x:v>
      </x:c>
      <x:c r="B349" s="25" t="str">
        <x:v>content.subsections[2].table.rows[4][1]</x:v>
      </x:c>
      <x:c r="C349" s="25" t="str">
        <x:v>Module 13 subsection 3 table row 5, column 2</x:v>
      </x:c>
      <x:c r="D349" s="25" t="str">
        <x:v>Final Warning / Termination</x:v>
      </x:c>
      <x:c r="E349" s="27" t="str"/>
      <x:c r="F349" s="25" t="str">
        <x:f>IF(E349="","Missing",IF(TRIM(E349)=TRIM(D349),"Review: same as English","Translated"))</x:f>
        <x:v>Missing</x:v>
      </x:c>
      <x:c r="G349" s="27" t="str"/>
      <x:c r="H349" s="25" t="str">
        <x:f>IF(G349="","Missing",IF(TRIM(G349)=TRIM(D349),"Review: same as English","Translated"))</x:f>
        <x:v>Missing</x:v>
      </x:c>
      <x:c r="I349" s="27" t="str">
        <x:v>No Malay or Chinese module currently exists in the application.</x:v>
      </x:c>
    </x:row>
    <x:row r="350" ht="20" customHeight="1">
      <x:c r="A350" s="25" t="n">
        <x:v>13</x:v>
      </x:c>
      <x:c r="B350" s="25" t="str">
        <x:v>content.subsections[2].table.rows[4][2]</x:v>
      </x:c>
      <x:c r="C350" s="25" t="str">
        <x:v>Module 13 subsection 3 table row 5, column 3</x:v>
      </x:c>
      <x:c r="D350" s="25" t="str">
        <x:v>Termination</x:v>
      </x:c>
      <x:c r="E350" s="27" t="str"/>
      <x:c r="F350" s="25" t="str">
        <x:f>IF(E350="","Missing",IF(TRIM(E350)=TRIM(D350),"Review: same as English","Translated"))</x:f>
        <x:v>Missing</x:v>
      </x:c>
      <x:c r="G350" s="27" t="str"/>
      <x:c r="H350" s="25" t="str">
        <x:f>IF(G350="","Missing",IF(TRIM(G350)=TRIM(D350),"Review: same as English","Translated"))</x:f>
        <x:v>Missing</x:v>
      </x:c>
      <x:c r="I350" s="27" t="str">
        <x:v>No Malay or Chinese module currently exists in the application.</x:v>
      </x:c>
    </x:row>
    <x:row r="351" ht="20" customHeight="1">
      <x:c r="A351" s="25" t="n">
        <x:v>13</x:v>
      </x:c>
      <x:c r="B351" s="25" t="str">
        <x:v>content.subsections[2].table.rows[5][0]</x:v>
      </x:c>
      <x:c r="C351" s="25" t="str">
        <x:v>Module 13 subsection 3 table row 6, column 1</x:v>
      </x:c>
      <x:c r="D351" s="25" t="str">
        <x:v>Theft, Fraud, Violence</x:v>
      </x:c>
      <x:c r="E351" s="27" t="str"/>
      <x:c r="F351" s="25" t="str">
        <x:f>IF(E351="","Missing",IF(TRIM(E351)=TRIM(D351),"Review: same as English","Translated"))</x:f>
        <x:v>Missing</x:v>
      </x:c>
      <x:c r="G351" s="27" t="str"/>
      <x:c r="H351" s="25" t="str">
        <x:f>IF(G351="","Missing",IF(TRIM(G351)=TRIM(D351),"Review: same as English","Translated"))</x:f>
        <x:v>Missing</x:v>
      </x:c>
      <x:c r="I351" s="27" t="str">
        <x:v>No Malay or Chinese module currently exists in the application.</x:v>
      </x:c>
    </x:row>
    <x:row r="352" ht="20" customHeight="1">
      <x:c r="A352" s="25" t="n">
        <x:v>13</x:v>
      </x:c>
      <x:c r="B352" s="25" t="str">
        <x:v>content.subsections[2].table.rows[5][1]</x:v>
      </x:c>
      <x:c r="C352" s="25" t="str">
        <x:v>Module 13 subsection 3 table row 6, column 2</x:v>
      </x:c>
      <x:c r="D352" s="25" t="str">
        <x:v>Termination (subject to due process)</x:v>
      </x:c>
      <x:c r="E352" s="27" t="str"/>
      <x:c r="F352" s="25" t="str">
        <x:f>IF(E352="","Missing",IF(TRIM(E352)=TRIM(D352),"Review: same as English","Translated"))</x:f>
        <x:v>Missing</x:v>
      </x:c>
      <x:c r="G352" s="27" t="str"/>
      <x:c r="H352" s="25" t="str">
        <x:f>IF(G352="","Missing",IF(TRIM(G352)=TRIM(D352),"Review: same as English","Translated"))</x:f>
        <x:v>Missing</x:v>
      </x:c>
      <x:c r="I352" s="27" t="str">
        <x:v>No Malay or Chinese module currently exists in the application.</x:v>
      </x:c>
    </x:row>
    <x:row r="353" ht="20" customHeight="1">
      <x:c r="A353" s="25" t="n">
        <x:v>13</x:v>
      </x:c>
      <x:c r="B353" s="25" t="str">
        <x:v>content.subsections[2].table.rows[5][2]</x:v>
      </x:c>
      <x:c r="C353" s="25" t="str">
        <x:v>Module 13 subsection 3 table row 6, column 3</x:v>
      </x:c>
      <x:c r="D353" s="25" t="str">
        <x:v>N/A</x:v>
      </x:c>
      <x:c r="E353" s="27" t="str"/>
      <x:c r="F353" s="25" t="str">
        <x:f>IF(E353="","Missing",IF(TRIM(E353)=TRIM(D353),"Review: same as English","Translated"))</x:f>
        <x:v>Missing</x:v>
      </x:c>
      <x:c r="G353" s="27" t="str"/>
      <x:c r="H353" s="25" t="str">
        <x:f>IF(G353="","Missing",IF(TRIM(G353)=TRIM(D353),"Review: same as English","Translated"))</x:f>
        <x:v>Missing</x:v>
      </x:c>
      <x:c r="I353" s="27" t="str">
        <x:v>No Malay or Chinese module currently exists in the application.</x:v>
      </x:c>
    </x:row>
    <x:row r="354" ht="34" customHeight="1">
      <x:c r="A354" s="25" t="n">
        <x:v>13</x:v>
      </x:c>
      <x:c r="B354" s="25" t="str">
        <x:v>content.keyTakeaway</x:v>
      </x:c>
      <x:c r="C354" s="25" t="str">
        <x:v>Module 13 key takeaway</x:v>
      </x:c>
      <x:c r="D354" s="25" t="str">
        <x:v>Serious misconduct (theft, fraud, violence, record falsification, sexual harassment) may result in summary dismissal following due process.</x:v>
      </x:c>
      <x:c r="E354" s="27" t="str"/>
      <x:c r="F354" s="25" t="str">
        <x:f>IF(E354="","Missing",IF(TRIM(E354)=TRIM(D354),"Review: same as English","Translated"))</x:f>
        <x:v>Missing</x:v>
      </x:c>
      <x:c r="G354" s="27" t="str"/>
      <x:c r="H354" s="25" t="str">
        <x:f>IF(G354="","Missing",IF(TRIM(G354)=TRIM(D354),"Review: same as English","Translated"))</x:f>
        <x:v>Missing</x:v>
      </x:c>
      <x:c r="I354" s="27" t="str">
        <x:v>No Malay or Chinese module currently exists in the application.</x:v>
      </x:c>
    </x:row>
    <x:row r="355" ht="20" customHeight="1">
      <x:c r="A355" s="25" t="n">
        <x:v>14</x:v>
      </x:c>
      <x:c r="B355" s="25" t="str">
        <x:v>title</x:v>
      </x:c>
      <x:c r="C355" s="25" t="str">
        <x:v>Module 14 title</x:v>
      </x:c>
      <x:c r="D355" s="25" t="str">
        <x:v>Part 14 – Separation of Employment</x:v>
      </x:c>
      <x:c r="E355" s="27" t="str"/>
      <x:c r="F355" s="25" t="str">
        <x:f>IF(E355="","Missing",IF(TRIM(E355)=TRIM(D355),"Review: same as English","Translated"))</x:f>
        <x:v>Missing</x:v>
      </x:c>
      <x:c r="G355" s="27" t="str"/>
      <x:c r="H355" s="25" t="str">
        <x:f>IF(G355="","Missing",IF(TRIM(G355)=TRIM(D355),"Review: same as English","Translated"))</x:f>
        <x:v>Missing</x:v>
      </x:c>
      <x:c r="I355" s="27" t="str">
        <x:v>No Malay or Chinese module currently exists in the application.</x:v>
      </x:c>
    </x:row>
    <x:row r="356" ht="34" customHeight="1">
      <x:c r="A356" s="25" t="n">
        <x:v>14</x:v>
      </x:c>
      <x:c r="B356" s="25" t="str">
        <x:v>subtitle</x:v>
      </x:c>
      <x:c r="C356" s="25" t="str">
        <x:v>Module 14 subtitle</x:v>
      </x:c>
      <x:c r="D356" s="25" t="str">
        <x:v>Resignation notice periods, payment in lieu, abscondment, retirement, retrenchment &amp; exit clearance</x:v>
      </x:c>
      <x:c r="E356" s="27" t="str"/>
      <x:c r="F356" s="25" t="str">
        <x:f>IF(E356="","Missing",IF(TRIM(E356)=TRIM(D356),"Review: same as English","Translated"))</x:f>
        <x:v>Missing</x:v>
      </x:c>
      <x:c r="G356" s="27" t="str"/>
      <x:c r="H356" s="25" t="str">
        <x:f>IF(G356="","Missing",IF(TRIM(G356)=TRIM(D356),"Review: same as English","Translated"))</x:f>
        <x:v>Missing</x:v>
      </x:c>
      <x:c r="I356" s="27" t="str">
        <x:v>No Malay or Chinese module currently exists in the application.</x:v>
      </x:c>
    </x:row>
    <x:row r="357" ht="20" customHeight="1">
      <x:c r="A357" s="25" t="n">
        <x:v>14</x:v>
      </x:c>
      <x:c r="B357" s="25" t="str">
        <x:v>content.sectionTitle</x:v>
      </x:c>
      <x:c r="C357" s="25" t="str">
        <x:v>Module 14 section heading</x:v>
      </x:c>
      <x:c r="D357" s="25" t="str">
        <x:v>PART 14 – SEPARATION OF EMPLOYMENT</x:v>
      </x:c>
      <x:c r="E357" s="27" t="str"/>
      <x:c r="F357" s="25" t="str">
        <x:f>IF(E357="","Missing",IF(TRIM(E357)=TRIM(D357),"Review: same as English","Translated"))</x:f>
        <x:v>Missing</x:v>
      </x:c>
      <x:c r="G357" s="27" t="str"/>
      <x:c r="H357" s="25" t="str">
        <x:f>IF(G357="","Missing",IF(TRIM(G357)=TRIM(D357),"Review: same as English","Translated"))</x:f>
        <x:v>Missing</x:v>
      </x:c>
      <x:c r="I357" s="27" t="str">
        <x:v>No Malay or Chinese module currently exists in the application.</x:v>
      </x:c>
    </x:row>
    <x:row r="358" ht="48" customHeight="1">
      <x:c r="A358" s="25" t="n">
        <x:v>14</x:v>
      </x:c>
      <x:c r="B358" s="25" t="str">
        <x:v>content.bodyParagraphs[0]</x:v>
      </x:c>
      <x:c r="C358" s="25" t="str">
        <x:v>Module 14 opening paragraph 1</x:v>
      </x:c>
      <x:c r="D358" s="25" t="str">
        <x:v>This section establishes procedures and responsibilities relating to resignation, termination, retirement, retrenchment, and separation matters in accordance with Malaysian law and employment contracts.</x:v>
      </x:c>
      <x:c r="E358" s="27" t="str"/>
      <x:c r="F358" s="25" t="str">
        <x:f>IF(E358="","Missing",IF(TRIM(E358)=TRIM(D358),"Review: same as English","Translated"))</x:f>
        <x:v>Missing</x:v>
      </x:c>
      <x:c r="G358" s="27" t="str"/>
      <x:c r="H358" s="25" t="str">
        <x:f>IF(G358="","Missing",IF(TRIM(G358)=TRIM(D358),"Review: same as English","Translated"))</x:f>
        <x:v>Missing</x:v>
      </x:c>
      <x:c r="I358" s="27" t="str">
        <x:v>No Malay or Chinese module currently exists in the application.</x:v>
      </x:c>
    </x:row>
    <x:row r="359" ht="20" customHeight="1">
      <x:c r="A359" s="25" t="n">
        <x:v>14</x:v>
      </x:c>
      <x:c r="B359" s="25" t="str">
        <x:v>content.subsections[0].title</x:v>
      </x:c>
      <x:c r="C359" s="25" t="str">
        <x:v>Module 14 subsection 1 title</x:v>
      </x:c>
      <x:c r="D359" s="25" t="str">
        <x:v>1. RESIGNATION &amp; NOTICE PERIOD POLICY</x:v>
      </x:c>
      <x:c r="E359" s="27" t="str"/>
      <x:c r="F359" s="25" t="str">
        <x:f>IF(E359="","Missing",IF(TRIM(E359)=TRIM(D359),"Review: same as English","Translated"))</x:f>
        <x:v>Missing</x:v>
      </x:c>
      <x:c r="G359" s="27" t="str"/>
      <x:c r="H359" s="25" t="str">
        <x:f>IF(G359="","Missing",IF(TRIM(G359)=TRIM(D359),"Review: same as English","Translated"))</x:f>
        <x:v>Missing</x:v>
      </x:c>
      <x:c r="I359" s="27" t="str">
        <x:v>No Malay or Chinese module currently exists in the application.</x:v>
      </x:c>
    </x:row>
    <x:row r="360" ht="34" customHeight="1">
      <x:c r="A360" s="25" t="n">
        <x:v>14</x:v>
      </x:c>
      <x:c r="B360" s="25" t="str">
        <x:v>content.subsections[0].paragraphs[0]</x:v>
      </x:c>
      <x:c r="C360" s="25" t="str">
        <x:v>Module 14 subsection 1 paragraph 1</x:v>
      </x:c>
      <x:c r="D360" s="25" t="str">
        <x:v>Resignations require written notice stating the last working day and notice period.</x:v>
      </x:c>
      <x:c r="E360" s="27" t="str"/>
      <x:c r="F360" s="25" t="str">
        <x:f>IF(E360="","Missing",IF(TRIM(E360)=TRIM(D360),"Review: same as English","Translated"))</x:f>
        <x:v>Missing</x:v>
      </x:c>
      <x:c r="G360" s="27" t="str"/>
      <x:c r="H360" s="25" t="str">
        <x:f>IF(G360="","Missing",IF(TRIM(G360)=TRIM(D360),"Review: same as English","Translated"))</x:f>
        <x:v>Missing</x:v>
      </x:c>
      <x:c r="I360" s="27" t="str">
        <x:v>No Malay or Chinese module currently exists in the application.</x:v>
      </x:c>
    </x:row>
    <x:row r="361" ht="20" customHeight="1">
      <x:c r="A361" s="25" t="n">
        <x:v>14</x:v>
      </x:c>
      <x:c r="B361" s="25" t="str">
        <x:v>content.subsections[0].paragraphs[1]</x:v>
      </x:c>
      <x:c r="C361" s="25" t="str">
        <x:v>Module 14 subsection 1 paragraph 2</x:v>
      </x:c>
      <x:c r="D361" s="25" t="str">
        <x:v>Standard Notice Periods:</x:v>
      </x:c>
      <x:c r="E361" s="27" t="str"/>
      <x:c r="F361" s="25" t="str">
        <x:f>IF(E361="","Missing",IF(TRIM(E361)=TRIM(D361),"Review: same as English","Translated"))</x:f>
        <x:v>Missing</x:v>
      </x:c>
      <x:c r="G361" s="27" t="str"/>
      <x:c r="H361" s="25" t="str">
        <x:f>IF(G361="","Missing",IF(TRIM(G361)=TRIM(D361),"Review: same as English","Translated"))</x:f>
        <x:v>Missing</x:v>
      </x:c>
      <x:c r="I361" s="27" t="str">
        <x:v>No Malay or Chinese module currently exists in the application.</x:v>
      </x:c>
    </x:row>
    <x:row r="362" ht="34" customHeight="1">
      <x:c r="A362" s="25" t="n">
        <x:v>14</x:v>
      </x:c>
      <x:c r="B362" s="25" t="str">
        <x:v>content.subsections[0].paragraphs[2]</x:v>
      </x:c>
      <x:c r="C362" s="25" t="str">
        <x:v>Module 14 subsection 1 paragraph 3</x:v>
      </x:c>
      <x:c r="D362" s="25" t="str">
        <x:v>• During Probation: Within 24 hours / as stated in Employment Contract.</x:v>
      </x:c>
      <x:c r="E362" s="27" t="str"/>
      <x:c r="F362" s="25" t="str">
        <x:f>IF(E362="","Missing",IF(TRIM(E362)=TRIM(D362),"Review: same as English","Translated"))</x:f>
        <x:v>Missing</x:v>
      </x:c>
      <x:c r="G362" s="27" t="str"/>
      <x:c r="H362" s="25" t="str">
        <x:f>IF(G362="","Missing",IF(TRIM(G362)=TRIM(D362),"Review: same as English","Translated"))</x:f>
        <x:v>Missing</x:v>
      </x:c>
      <x:c r="I362" s="27" t="str">
        <x:v>No Malay or Chinese module currently exists in the application.</x:v>
      </x:c>
    </x:row>
    <x:row r="363" ht="20" customHeight="1">
      <x:c r="A363" s="25" t="n">
        <x:v>14</x:v>
      </x:c>
      <x:c r="B363" s="25" t="str">
        <x:v>content.subsections[0].paragraphs[3]</x:v>
      </x:c>
      <x:c r="C363" s="25" t="str">
        <x:v>Module 14 subsection 1 paragraph 4</x:v>
      </x:c>
      <x:c r="D363" s="25" t="str">
        <x:v>• Confirmed (&lt; 2 Years Service): 1 month or 2 months notice.</x:v>
      </x:c>
      <x:c r="E363" s="27" t="str"/>
      <x:c r="F363" s="25" t="str">
        <x:f>IF(E363="","Missing",IF(TRIM(E363)=TRIM(D363),"Review: same as English","Translated"))</x:f>
        <x:v>Missing</x:v>
      </x:c>
      <x:c r="G363" s="27" t="str"/>
      <x:c r="H363" s="25" t="str">
        <x:f>IF(G363="","Missing",IF(TRIM(G363)=TRIM(D363),"Review: same as English","Translated"))</x:f>
        <x:v>Missing</x:v>
      </x:c>
      <x:c r="I363" s="27" t="str">
        <x:v>No Malay or Chinese module currently exists in the application.</x:v>
      </x:c>
    </x:row>
    <x:row r="364" ht="20" customHeight="1">
      <x:c r="A364" s="25" t="n">
        <x:v>14</x:v>
      </x:c>
      <x:c r="B364" s="25" t="str">
        <x:v>content.subsections[0].paragraphs[4]</x:v>
      </x:c>
      <x:c r="C364" s="25" t="str">
        <x:v>Module 14 subsection 1 paragraph 5</x:v>
      </x:c>
      <x:c r="D364" s="25" t="str">
        <x:v>• Confirmed (2 Years Service &amp; Above): 2 months OR 3 months notice.</x:v>
      </x:c>
      <x:c r="E364" s="27" t="str"/>
      <x:c r="F364" s="25" t="str">
        <x:f>IF(E364="","Missing",IF(TRIM(E364)=TRIM(D364),"Review: same as English","Translated"))</x:f>
        <x:v>Missing</x:v>
      </x:c>
      <x:c r="G364" s="27" t="str"/>
      <x:c r="H364" s="25" t="str">
        <x:f>IF(G364="","Missing",IF(TRIM(G364)=TRIM(D364),"Review: same as English","Translated"))</x:f>
        <x:v>Missing</x:v>
      </x:c>
      <x:c r="I364" s="27" t="str">
        <x:v>No Malay or Chinese module currently exists in the application.</x:v>
      </x:c>
    </x:row>
    <x:row r="365" ht="20" customHeight="1">
      <x:c r="A365" s="25" t="n">
        <x:v>14</x:v>
      </x:c>
      <x:c r="B365" s="25" t="str">
        <x:v>content.subsections[1].title</x:v>
      </x:c>
      <x:c r="C365" s="25" t="str">
        <x:v>Module 14 subsection 2 title</x:v>
      </x:c>
      <x:c r="D365" s="25" t="str">
        <x:v>2. PAYMENT IN LIEU &amp; ABSCONDMENT</x:v>
      </x:c>
      <x:c r="E365" s="27" t="str"/>
      <x:c r="F365" s="25" t="str">
        <x:f>IF(E365="","Missing",IF(TRIM(E365)=TRIM(D365),"Review: same as English","Translated"))</x:f>
        <x:v>Missing</x:v>
      </x:c>
      <x:c r="G365" s="27" t="str"/>
      <x:c r="H365" s="25" t="str">
        <x:f>IF(G365="","Missing",IF(TRIM(G365)=TRIM(D365),"Review: same as English","Translated"))</x:f>
        <x:v>Missing</x:v>
      </x:c>
      <x:c r="I365" s="27" t="str">
        <x:v>No Malay or Chinese module currently exists in the application.</x:v>
      </x:c>
    </x:row>
    <x:row r="366" ht="34" customHeight="1">
      <x:c r="A366" s="25" t="n">
        <x:v>14</x:v>
      </x:c>
      <x:c r="B366" s="25" t="str">
        <x:v>content.subsections[1].paragraphs[0]</x:v>
      </x:c>
      <x:c r="C366" s="25" t="str">
        <x:v>Module 14 subsection 2 paragraph 1</x:v>
      </x:c>
      <x:c r="D366" s="25" t="str">
        <x:v>Either party may terminate employment by paying salary in lieu of unserved notice.</x:v>
      </x:c>
      <x:c r="E366" s="27" t="str"/>
      <x:c r="F366" s="25" t="str">
        <x:f>IF(E366="","Missing",IF(TRIM(E366)=TRIM(D366),"Review: same as English","Translated"))</x:f>
        <x:v>Missing</x:v>
      </x:c>
      <x:c r="G366" s="27" t="str"/>
      <x:c r="H366" s="25" t="str">
        <x:f>IF(G366="","Missing",IF(TRIM(G366)=TRIM(D366),"Review: same as English","Translated"))</x:f>
        <x:v>Missing</x:v>
      </x:c>
      <x:c r="I366" s="27" t="str">
        <x:v>No Malay or Chinese module currently exists in the application.</x:v>
      </x:c>
    </x:row>
    <x:row r="367" ht="34" customHeight="1">
      <x:c r="A367" s="25" t="n">
        <x:v>14</x:v>
      </x:c>
      <x:c r="B367" s="25" t="str">
        <x:v>content.subsections[1].paragraphs[1]</x:v>
      </x:c>
      <x:c r="C367" s="25" t="str">
        <x:v>Module 14 subsection 2 paragraph 2</x:v>
      </x:c>
      <x:c r="D367" s="25" t="str">
        <x:v>An employee absent for 2 consecutive working days without notice triggers a show cause process for job abandonment.</x:v>
      </x:c>
      <x:c r="E367" s="27" t="str"/>
      <x:c r="F367" s="25" t="str">
        <x:f>IF(E367="","Missing",IF(TRIM(E367)=TRIM(D367),"Review: same as English","Translated"))</x:f>
        <x:v>Missing</x:v>
      </x:c>
      <x:c r="G367" s="27" t="str"/>
      <x:c r="H367" s="25" t="str">
        <x:f>IF(G367="","Missing",IF(TRIM(G367)=TRIM(D367),"Review: same as English","Translated"))</x:f>
        <x:v>Missing</x:v>
      </x:c>
      <x:c r="I367" s="27" t="str">
        <x:v>No Malay or Chinese module currently exists in the application.</x:v>
      </x:c>
    </x:row>
    <x:row r="368" ht="20" customHeight="1">
      <x:c r="A368" s="25" t="n">
        <x:v>14</x:v>
      </x:c>
      <x:c r="B368" s="25" t="str">
        <x:v>content.subsections[2].title</x:v>
      </x:c>
      <x:c r="C368" s="25" t="str">
        <x:v>Module 14 subsection 3 title</x:v>
      </x:c>
      <x:c r="D368" s="25" t="str">
        <x:v>3. RETIREMENT, RETRENCHMENT &amp; EXIT CLEARANCE</x:v>
      </x:c>
      <x:c r="E368" s="27" t="str"/>
      <x:c r="F368" s="25" t="str">
        <x:f>IF(E368="","Missing",IF(TRIM(E368)=TRIM(D368),"Review: same as English","Translated"))</x:f>
        <x:v>Missing</x:v>
      </x:c>
      <x:c r="G368" s="27" t="str"/>
      <x:c r="H368" s="25" t="str">
        <x:f>IF(G368="","Missing",IF(TRIM(G368)=TRIM(D368),"Review: same as English","Translated"))</x:f>
        <x:v>Missing</x:v>
      </x:c>
      <x:c r="I368" s="27" t="str">
        <x:v>No Malay or Chinese module currently exists in the application.</x:v>
      </x:c>
    </x:row>
    <x:row r="369" ht="48" customHeight="1">
      <x:c r="A369" s="25" t="n">
        <x:v>14</x:v>
      </x:c>
      <x:c r="B369" s="25" t="str">
        <x:v>content.subsections[2].paragraphs[0]</x:v>
      </x:c>
      <x:c r="C369" s="25" t="str">
        <x:v>Module 14 subsection 3 paragraph 1</x:v>
      </x:c>
      <x:c r="D369" s="25" t="str">
        <x:v>Complete Exit Clearance requires returning all physical property (laptops, access cards, credit cards) and digital assets (email, passwords, social accounts, client files) before final salary processing.</x:v>
      </x:c>
      <x:c r="E369" s="27" t="str"/>
      <x:c r="F369" s="25" t="str">
        <x:f>IF(E369="","Missing",IF(TRIM(E369)=TRIM(D369),"Review: same as English","Translated"))</x:f>
        <x:v>Missing</x:v>
      </x:c>
      <x:c r="G369" s="27" t="str"/>
      <x:c r="H369" s="25" t="str">
        <x:f>IF(G369="","Missing",IF(TRIM(G369)=TRIM(D369),"Review: same as English","Translated"))</x:f>
        <x:v>Missing</x:v>
      </x:c>
      <x:c r="I369" s="27" t="str">
        <x:v>No Malay or Chinese module currently exists in the application.</x:v>
      </x:c>
    </x:row>
    <x:row r="370" ht="34" customHeight="1">
      <x:c r="A370" s="25" t="n">
        <x:v>14</x:v>
      </x:c>
      <x:c r="B370" s="25" t="str">
        <x:v>content.keyTakeaway</x:v>
      </x:c>
      <x:c r="C370" s="25" t="str">
        <x:v>Module 14 key takeaway</x:v>
      </x:c>
      <x:c r="D370" s="25" t="str">
        <x:v>Abscondment: An employee absent without notification for two (2) consecutive working days may be deemed to have absconded from employment.</x:v>
      </x:c>
      <x:c r="E370" s="27" t="str"/>
      <x:c r="F370" s="25" t="str">
        <x:f>IF(E370="","Missing",IF(TRIM(E370)=TRIM(D370),"Review: same as English","Translated"))</x:f>
        <x:v>Missing</x:v>
      </x:c>
      <x:c r="G370" s="27" t="str"/>
      <x:c r="H370" s="25" t="str">
        <x:f>IF(G370="","Missing",IF(TRIM(G370)=TRIM(D370),"Review: same as English","Translated"))</x:f>
        <x:v>Missing</x:v>
      </x:c>
      <x:c r="I370" s="27" t="str">
        <x:v>No Malay or Chinese module currently exists in the application.</x:v>
      </x:c>
    </x:row>
    <x:row r="371" ht="20" customHeight="1">
      <x:c r="A371" s="25" t="n">
        <x:v>15</x:v>
      </x:c>
      <x:c r="B371" s="25" t="str">
        <x:v>title</x:v>
      </x:c>
      <x:c r="C371" s="25" t="str">
        <x:v>Module 15 title</x:v>
      </x:c>
      <x:c r="D371" s="25" t="str">
        <x:v>Part 15 – Final Provisions &amp; Employee Acknowledgement</x:v>
      </x:c>
      <x:c r="E371" s="27" t="str"/>
      <x:c r="F371" s="25" t="str">
        <x:f>IF(E371="","Missing",IF(TRIM(E371)=TRIM(D371),"Review: same as English","Translated"))</x:f>
        <x:v>Missing</x:v>
      </x:c>
      <x:c r="G371" s="27" t="str"/>
      <x:c r="H371" s="25" t="str">
        <x:f>IF(G371="","Missing",IF(TRIM(G371)=TRIM(D371),"Review: same as English","Translated"))</x:f>
        <x:v>Missing</x:v>
      </x:c>
      <x:c r="I371" s="27" t="str">
        <x:v>No Malay or Chinese module currently exists in the application.</x:v>
      </x:c>
    </x:row>
    <x:row r="372" ht="34" customHeight="1">
      <x:c r="A372" s="25" t="n">
        <x:v>15</x:v>
      </x:c>
      <x:c r="B372" s="25" t="str">
        <x:v>subtitle</x:v>
      </x:c>
      <x:c r="C372" s="25" t="str">
        <x:v>Module 15 subtitle</x:v>
      </x:c>
      <x:c r="D372" s="25" t="str">
        <x:v>Final legal provisions, handbook authority, employee covenants &amp; formal digital sign-off block</x:v>
      </x:c>
      <x:c r="E372" s="27" t="str"/>
      <x:c r="F372" s="25" t="str">
        <x:f>IF(E372="","Missing",IF(TRIM(E372)=TRIM(D372),"Review: same as English","Translated"))</x:f>
        <x:v>Missing</x:v>
      </x:c>
      <x:c r="G372" s="27" t="str"/>
      <x:c r="H372" s="25" t="str">
        <x:f>IF(G372="","Missing",IF(TRIM(G372)=TRIM(D372),"Review: same as English","Translated"))</x:f>
        <x:v>Missing</x:v>
      </x:c>
      <x:c r="I372" s="27" t="str">
        <x:v>No Malay or Chinese module currently exists in the application.</x:v>
      </x:c>
    </x:row>
    <x:row r="373" ht="20" customHeight="1">
      <x:c r="A373" s="25" t="n">
        <x:v>15</x:v>
      </x:c>
      <x:c r="B373" s="25" t="str">
        <x:v>content.sectionTitle</x:v>
      </x:c>
      <x:c r="C373" s="25" t="str">
        <x:v>Module 15 section heading</x:v>
      </x:c>
      <x:c r="D373" s="25" t="str">
        <x:v>PART 15 – FINAL PROVISIONS &amp; EMPLOYEE ACKNOWLEDGEMENT</x:v>
      </x:c>
      <x:c r="E373" s="27" t="str"/>
      <x:c r="F373" s="25" t="str">
        <x:f>IF(E373="","Missing",IF(TRIM(E373)=TRIM(D373),"Review: same as English","Translated"))</x:f>
        <x:v>Missing</x:v>
      </x:c>
      <x:c r="G373" s="27" t="str"/>
      <x:c r="H373" s="25" t="str">
        <x:f>IF(G373="","Missing",IF(TRIM(G373)=TRIM(D373),"Review: same as English","Translated"))</x:f>
        <x:v>Missing</x:v>
      </x:c>
      <x:c r="I373" s="27" t="str">
        <x:v>No Malay or Chinese module currently exists in the application.</x:v>
      </x:c>
    </x:row>
    <x:row r="374" ht="48" customHeight="1">
      <x:c r="A374" s="25" t="n">
        <x:v>15</x:v>
      </x:c>
      <x:c r="B374" s="25" t="str">
        <x:v>content.bodyParagraphs[0]</x:v>
      </x:c>
      <x:c r="C374" s="25" t="str">
        <x:v>Module 15 opening paragraph 1</x:v>
      </x:c>
      <x:c r="D374" s="25" t="str">
        <x:v>FINAL PROVISIONS: This Employee Handbook is intended to provide employees with general guidance on Company policies, procedures, benefits, and expectations.</x:v>
      </x:c>
      <x:c r="E374" s="27" t="str"/>
      <x:c r="F374" s="25" t="str">
        <x:f>IF(E374="","Missing",IF(TRIM(E374)=TRIM(D374),"Review: same as English","Translated"))</x:f>
        <x:v>Missing</x:v>
      </x:c>
      <x:c r="G374" s="27" t="str"/>
      <x:c r="H374" s="25" t="str">
        <x:f>IF(G374="","Missing",IF(TRIM(G374)=TRIM(D374),"Review: same as English","Translated"))</x:f>
        <x:v>Missing</x:v>
      </x:c>
      <x:c r="I374" s="27" t="str">
        <x:v>No Malay or Chinese module currently exists in the application.</x:v>
      </x:c>
    </x:row>
    <x:row r="375" ht="62" customHeight="1">
      <x:c r="A375" s="25" t="n">
        <x:v>15</x:v>
      </x:c>
      <x:c r="B375" s="25" t="str">
        <x:v>content.bodyParagraphs[1]</x:v>
      </x:c>
      <x:c r="C375" s="25" t="str">
        <x:v>Module 15 opening paragraph 2</x:v>
      </x:c>
      <x:c r="D375" s="25" t="str">
        <x:v>This Handbook does not constitute a contract of employment and shall not be interpreted as creating any contractual rights beyond those expressly stated in the Employee Employment Contract or required by applicable laws.</x:v>
      </x:c>
      <x:c r="E375" s="27" t="str"/>
      <x:c r="F375" s="25" t="str">
        <x:f>IF(E375="","Missing",IF(TRIM(E375)=TRIM(D375),"Review: same as English","Translated"))</x:f>
        <x:v>Missing</x:v>
      </x:c>
      <x:c r="G375" s="27" t="str"/>
      <x:c r="H375" s="25" t="str">
        <x:f>IF(G375="","Missing",IF(TRIM(G375)=TRIM(D375),"Review: same as English","Translated"))</x:f>
        <x:v>Missing</x:v>
      </x:c>
      <x:c r="I375" s="27" t="str">
        <x:v>No Malay or Chinese module currently exists in the application.</x:v>
      </x:c>
    </x:row>
    <x:row r="376" ht="62" customHeight="1">
      <x:c r="A376" s="25" t="n">
        <x:v>15</x:v>
      </x:c>
      <x:c r="B376" s="25" t="str">
        <x:v>content.bodyParagraphs[2]</x:v>
      </x:c>
      <x:c r="C376" s="25" t="str">
        <x:v>Module 15 opening paragraph 3</x:v>
      </x:c>
      <x:c r="D376" s="25" t="str">
        <x:v>The Company reserves the right to Amend, Modify, Suspend, Withdraw, or Introduce any policy, procedure, guideline, benefit, or practice contained in this Handbook at any time, with or without prior notice, subject to applicable laws.</x:v>
      </x:c>
      <x:c r="E376" s="27" t="str"/>
      <x:c r="F376" s="25" t="str">
        <x:f>IF(E376="","Missing",IF(TRIM(E376)=TRIM(D376),"Review: same as English","Translated"))</x:f>
        <x:v>Missing</x:v>
      </x:c>
      <x:c r="G376" s="27" t="str"/>
      <x:c r="H376" s="25" t="str">
        <x:f>IF(G376="","Missing",IF(TRIM(G376)=TRIM(D376),"Review: same as English","Translated"))</x:f>
        <x:v>Missing</x:v>
      </x:c>
      <x:c r="I376" s="27" t="str">
        <x:v>No Malay or Chinese module currently exists in the application.</x:v>
      </x:c>
    </x:row>
    <x:row r="377" ht="48" customHeight="1">
      <x:c r="A377" s="25" t="n">
        <x:v>15</x:v>
      </x:c>
      <x:c r="B377" s="25" t="str">
        <x:v>content.bodyParagraphs[3]</x:v>
      </x:c>
      <x:c r="C377" s="25" t="str">
        <x:v>Module 15 opening paragraph 4</x:v>
      </x:c>
      <x:c r="D377" s="25" t="str">
        <x:v>Where there is any inconsistency between this Handbook and the Employee Employment Contract, the Employment Contract shall prevail unless otherwise required by law.</x:v>
      </x:c>
      <x:c r="E377" s="27" t="str"/>
      <x:c r="F377" s="25" t="str">
        <x:f>IF(E377="","Missing",IF(TRIM(E377)=TRIM(D377),"Review: same as English","Translated"))</x:f>
        <x:v>Missing</x:v>
      </x:c>
      <x:c r="G377" s="27" t="str"/>
      <x:c r="H377" s="25" t="str">
        <x:f>IF(G377="","Missing",IF(TRIM(G377)=TRIM(D377),"Review: same as English","Translated"))</x:f>
        <x:v>Missing</x:v>
      </x:c>
      <x:c r="I377" s="27" t="str">
        <x:v>No Malay or Chinese module currently exists in the application.</x:v>
      </x:c>
    </x:row>
    <x:row r="378" ht="20" customHeight="1">
      <x:c r="A378" s="25" t="n">
        <x:v>15</x:v>
      </x:c>
      <x:c r="B378" s="25" t="str">
        <x:v>content.subsections[0].title</x:v>
      </x:c>
      <x:c r="C378" s="25" t="str">
        <x:v>Module 15 subsection 1 title</x:v>
      </x:c>
      <x:c r="D378" s="25" t="str">
        <x:v>EMPLOYEE ACKNOWLEDGEMENT DECLARATIONS</x:v>
      </x:c>
      <x:c r="E378" s="27" t="str"/>
      <x:c r="F378" s="25" t="str">
        <x:f>IF(E378="","Missing",IF(TRIM(E378)=TRIM(D378),"Review: same as English","Translated"))</x:f>
        <x:v>Missing</x:v>
      </x:c>
      <x:c r="G378" s="27" t="str"/>
      <x:c r="H378" s="25" t="str">
        <x:f>IF(G378="","Missing",IF(TRIM(G378)=TRIM(D378),"Review: same as English","Translated"))</x:f>
        <x:v>Missing</x:v>
      </x:c>
      <x:c r="I378" s="27" t="str">
        <x:v>No Malay or Chinese module currently exists in the application.</x:v>
      </x:c>
    </x:row>
    <x:row r="379" ht="20" customHeight="1">
      <x:c r="A379" s="25" t="n">
        <x:v>15</x:v>
      </x:c>
      <x:c r="B379" s="25" t="str">
        <x:v>content.subsections[0].paragraphs[0]</x:v>
      </x:c>
      <x:c r="C379" s="25" t="str">
        <x:v>Module 15 subsection 1 paragraph 1</x:v>
      </x:c>
      <x:c r="D379" s="25" t="str">
        <x:v>I hereby acknowledge that:</x:v>
      </x:c>
      <x:c r="E379" s="27" t="str"/>
      <x:c r="F379" s="25" t="str">
        <x:f>IF(E379="","Missing",IF(TRIM(E379)=TRIM(D379),"Review: same as English","Translated"))</x:f>
        <x:v>Missing</x:v>
      </x:c>
      <x:c r="G379" s="27" t="str"/>
      <x:c r="H379" s="25" t="str">
        <x:f>IF(G379="","Missing",IF(TRIM(G379)=TRIM(D379),"Review: same as English","Translated"))</x:f>
        <x:v>Missing</x:v>
      </x:c>
      <x:c r="I379" s="27" t="str">
        <x:v>No Malay or Chinese module currently exists in the application.</x:v>
      </x:c>
    </x:row>
    <x:row r="380" ht="20" customHeight="1">
      <x:c r="A380" s="25" t="n">
        <x:v>15</x:v>
      </x:c>
      <x:c r="B380" s="25" t="str">
        <x:v>content.subsections[0].paragraphs[1]</x:v>
      </x:c>
      <x:c r="C380" s="25" t="str">
        <x:v>Module 15 subsection 1 paragraph 2</x:v>
      </x:c>
      <x:c r="D380" s="25" t="str">
        <x:v>1. I have received a copy of the RedPoint Sdn Bhd Employee Handbook.</x:v>
      </x:c>
      <x:c r="E380" s="27" t="str"/>
      <x:c r="F380" s="25" t="str">
        <x:f>IF(E380="","Missing",IF(TRIM(E380)=TRIM(D380),"Review: same as English","Translated"))</x:f>
        <x:v>Missing</x:v>
      </x:c>
      <x:c r="G380" s="27" t="str"/>
      <x:c r="H380" s="25" t="str">
        <x:f>IF(G380="","Missing",IF(TRIM(G380)=TRIM(D380),"Review: same as English","Translated"))</x:f>
        <x:v>Missing</x:v>
      </x:c>
      <x:c r="I380" s="27" t="str">
        <x:v>No Malay or Chinese module currently exists in the application.</x:v>
      </x:c>
    </x:row>
    <x:row r="381" ht="20" customHeight="1">
      <x:c r="A381" s="25" t="n">
        <x:v>15</x:v>
      </x:c>
      <x:c r="B381" s="25" t="str">
        <x:v>content.subsections[0].paragraphs[2]</x:v>
      </x:c>
      <x:c r="C381" s="25" t="str">
        <x:v>Module 15 subsection 1 paragraph 3</x:v>
      </x:c>
      <x:c r="D381" s="25" t="str">
        <x:v>2. I have read and understood the contents of this Handbook.</x:v>
      </x:c>
      <x:c r="E381" s="27" t="str"/>
      <x:c r="F381" s="25" t="str">
        <x:f>IF(E381="","Missing",IF(TRIM(E381)=TRIM(D381),"Review: same as English","Translated"))</x:f>
        <x:v>Missing</x:v>
      </x:c>
      <x:c r="G381" s="27" t="str"/>
      <x:c r="H381" s="25" t="str">
        <x:f>IF(G381="","Missing",IF(TRIM(G381)=TRIM(D381),"Review: same as English","Translated"))</x:f>
        <x:v>Missing</x:v>
      </x:c>
      <x:c r="I381" s="27" t="str">
        <x:v>No Malay or Chinese module currently exists in the application.</x:v>
      </x:c>
    </x:row>
    <x:row r="382" ht="48" customHeight="1">
      <x:c r="A382" s="25" t="n">
        <x:v>15</x:v>
      </x:c>
      <x:c r="B382" s="25" t="str">
        <x:v>content.subsections[0].paragraphs[3]</x:v>
      </x:c>
      <x:c r="C382" s="25" t="str">
        <x:v>Module 15 subsection 1 paragraph 4</x:v>
      </x:c>
      <x:c r="D382" s="25" t="str">
        <x:v>3. I agree to comply with all Company policies, procedures, rules, and guidelines contained herein and any amendments made from time to time.</x:v>
      </x:c>
      <x:c r="E382" s="27" t="str"/>
      <x:c r="F382" s="25" t="str">
        <x:f>IF(E382="","Missing",IF(TRIM(E382)=TRIM(D382),"Review: same as English","Translated"))</x:f>
        <x:v>Missing</x:v>
      </x:c>
      <x:c r="G382" s="27" t="str"/>
      <x:c r="H382" s="25" t="str">
        <x:f>IF(G382="","Missing",IF(TRIM(G382)=TRIM(D382),"Review: same as English","Translated"))</x:f>
        <x:v>Missing</x:v>
      </x:c>
      <x:c r="I382" s="27" t="str">
        <x:v>No Malay or Chinese module currently exists in the application.</x:v>
      </x:c>
    </x:row>
    <x:row r="383" ht="48" customHeight="1">
      <x:c r="A383" s="25" t="n">
        <x:v>15</x:v>
      </x:c>
      <x:c r="B383" s="25" t="str">
        <x:v>content.subsections[0].paragraphs[4]</x:v>
      </x:c>
      <x:c r="C383" s="25" t="str">
        <x:v>Module 15 subsection 1 paragraph 5</x:v>
      </x:c>
      <x:c r="D383" s="25" t="str">
        <x:v>4. I understand that this Handbook does not constitute a contract of employment and does not alter the terms and conditions of my Employment Contract.</x:v>
      </x:c>
      <x:c r="E383" s="27" t="str"/>
      <x:c r="F383" s="25" t="str">
        <x:f>IF(E383="","Missing",IF(TRIM(E383)=TRIM(D383),"Review: same as English","Translated"))</x:f>
        <x:v>Missing</x:v>
      </x:c>
      <x:c r="G383" s="27" t="str"/>
      <x:c r="H383" s="25" t="str">
        <x:f>IF(G383="","Missing",IF(TRIM(G383)=TRIM(D383),"Review: same as English","Translated"))</x:f>
        <x:v>Missing</x:v>
      </x:c>
      <x:c r="I383" s="27" t="str">
        <x:v>No Malay or Chinese module currently exists in the application.</x:v>
      </x:c>
    </x:row>
    <x:row r="384" ht="48" customHeight="1">
      <x:c r="A384" s="25" t="n">
        <x:v>15</x:v>
      </x:c>
      <x:c r="B384" s="25" t="str">
        <x:v>content.subsections[0].paragraphs[5]</x:v>
      </x:c>
      <x:c r="C384" s="25" t="str">
        <x:v>Module 15 subsection 1 paragraph 6</x:v>
      </x:c>
      <x:c r="D384" s="25" t="str">
        <x:v>5. I understand that it is my responsibility to seek clarification from Human Resources if I have any questions regarding the contents of this Handbook.</x:v>
      </x:c>
      <x:c r="E384" s="27" t="str"/>
      <x:c r="F384" s="25" t="str">
        <x:f>IF(E384="","Missing",IF(TRIM(E384)=TRIM(D384),"Review: same as English","Translated"))</x:f>
        <x:v>Missing</x:v>
      </x:c>
      <x:c r="G384" s="27" t="str"/>
      <x:c r="H384" s="25" t="str">
        <x:f>IF(G384="","Missing",IF(TRIM(G384)=TRIM(D384),"Review: same as English","Translated"))</x:f>
        <x:v>Missing</x:v>
      </x:c>
      <x:c r="I384" s="27" t="str">
        <x:v>No Malay or Chinese module currently exists in the application.</x:v>
      </x:c>
    </x:row>
    <x:row r="385" ht="20" customHeight="1">
      <x:c r="A385" s="25" t="n">
        <x:v>15</x:v>
      </x:c>
      <x:c r="B385" s="25" t="str">
        <x:v>content.subsections[0].bulletPoints[0]</x:v>
      </x:c>
      <x:c r="C385" s="25" t="str">
        <x:v>Module 15 subsection 1 bullet 1</x:v>
      </x:c>
      <x:c r="D385" s="25" t="str">
        <x:v>Document Owner: Human Resources Department</x:v>
      </x:c>
      <x:c r="E385" s="27" t="str"/>
      <x:c r="F385" s="25" t="str">
        <x:f>IF(E385="","Missing",IF(TRIM(E385)=TRIM(D385),"Review: same as English","Translated"))</x:f>
        <x:v>Missing</x:v>
      </x:c>
      <x:c r="G385" s="27" t="str"/>
      <x:c r="H385" s="25" t="str">
        <x:f>IF(G385="","Missing",IF(TRIM(G385)=TRIM(D385),"Review: same as English","Translated"))</x:f>
        <x:v>Missing</x:v>
      </x:c>
      <x:c r="I385" s="27" t="str">
        <x:v>No Malay or Chinese module currently exists in the application.</x:v>
      </x:c>
    </x:row>
    <x:row r="386" ht="20" customHeight="1">
      <x:c r="A386" s="25" t="n">
        <x:v>15</x:v>
      </x:c>
      <x:c r="B386" s="25" t="str">
        <x:v>content.subsections[0].bulletPoints[1]</x:v>
      </x:c>
      <x:c r="C386" s="25" t="str">
        <x:v>Module 15 subsection 1 bullet 2</x:v>
      </x:c>
      <x:c r="D386" s="25" t="str">
        <x:v>Classification: Internal Use Only</x:v>
      </x:c>
      <x:c r="E386" s="27" t="str"/>
      <x:c r="F386" s="25" t="str">
        <x:f>IF(E386="","Missing",IF(TRIM(E386)=TRIM(D386),"Review: same as English","Translated"))</x:f>
        <x:v>Missing</x:v>
      </x:c>
      <x:c r="G386" s="27" t="str"/>
      <x:c r="H386" s="25" t="str">
        <x:f>IF(G386="","Missing",IF(TRIM(G386)=TRIM(D386),"Review: same as English","Translated"))</x:f>
        <x:v>Missing</x:v>
      </x:c>
      <x:c r="I386" s="27" t="str">
        <x:v>No Malay or Chinese module currently exists in the application.</x:v>
      </x:c>
    </x:row>
    <x:row r="387" ht="20" customHeight="1">
      <x:c r="A387" s="25" t="n">
        <x:v>15</x:v>
      </x:c>
      <x:c r="B387" s="25" t="str">
        <x:v>content.subsections[0].bulletPoints[2]</x:v>
      </x:c>
      <x:c r="C387" s="25" t="str">
        <x:v>Module 15 subsection 1 bullet 3</x:v>
      </x:c>
      <x:c r="D387" s="25" t="str">
        <x:v>Employee Handbook Version: 1.0</x:v>
      </x:c>
      <x:c r="E387" s="27" t="str"/>
      <x:c r="F387" s="25" t="str">
        <x:f>IF(E387="","Missing",IF(TRIM(E387)=TRIM(D387),"Review: same as English","Translated"))</x:f>
        <x:v>Missing</x:v>
      </x:c>
      <x:c r="G387" s="27" t="str"/>
      <x:c r="H387" s="25" t="str">
        <x:f>IF(G387="","Missing",IF(TRIM(G387)=TRIM(D387),"Review: same as English","Translated"))</x:f>
        <x:v>Missing</x:v>
      </x:c>
      <x:c r="I387" s="27" t="str">
        <x:v>No Malay or Chinese module currently exists in the application.</x:v>
      </x:c>
    </x:row>
    <x:row r="388" ht="20" customHeight="1">
      <x:c r="A388" s="25" t="n">
        <x:v>15</x:v>
      </x:c>
      <x:c r="B388" s="25" t="str">
        <x:v>content.subsections[0].bulletPoints[3]</x:v>
      </x:c>
      <x:c r="C388" s="25" t="str">
        <x:v>Module 15 subsection 1 bullet 4</x:v>
      </x:c>
      <x:c r="D388" s="25" t="str">
        <x:v>© RedPoint Sdn Bhd. All Rights Reserved.</x:v>
      </x:c>
      <x:c r="E388" s="27" t="str"/>
      <x:c r="F388" s="25" t="str">
        <x:f>IF(E388="","Missing",IF(TRIM(E388)=TRIM(D388),"Review: same as English","Translated"))</x:f>
        <x:v>Missing</x:v>
      </x:c>
      <x:c r="G388" s="27" t="str"/>
      <x:c r="H388" s="25" t="str">
        <x:f>IF(G388="","Missing",IF(TRIM(G388)=TRIM(D388),"Review: same as English","Translated"))</x:f>
        <x:v>Missing</x:v>
      </x:c>
      <x:c r="I388" s="27" t="str">
        <x:v>No Malay or Chinese module currently exists in the application.</x:v>
      </x:c>
    </x:row>
    <x:row r="389" ht="34" customHeight="1">
      <x:c r="A389" s="25" t="n">
        <x:v>15</x:v>
      </x:c>
      <x:c r="B389" s="25" t="str">
        <x:v>content.keyTakeaway</x:v>
      </x:c>
      <x:c r="C389" s="25" t="str">
        <x:v>Module 15 key takeaway</x:v>
      </x:c>
      <x:c r="D389" s="25" t="str">
        <x:v>Failure to comply with Company policies may result in disciplinary action, up to and including termination of employment.</x:v>
      </x:c>
      <x:c r="E389" s="27" t="str"/>
      <x:c r="F389" s="25" t="str">
        <x:f>IF(E389="","Missing",IF(TRIM(E389)=TRIM(D389),"Review: same as English","Translated"))</x:f>
        <x:v>Missing</x:v>
      </x:c>
      <x:c r="G389" s="27" t="str"/>
      <x:c r="H389" s="25" t="str">
        <x:f>IF(G389="","Missing",IF(TRIM(G389)=TRIM(D389),"Review: same as English","Translated"))</x:f>
        <x:v>Missing</x:v>
      </x:c>
      <x:c r="I389" s="27" t="str">
        <x:v>No Malay or Chinese module currently exists in the application.</x:v>
      </x:c>
    </x:row>
  </x:sheetData>
  <x:mergeCells>
    <x:mergeCell ref="A1:I1"/>
    <x:mergeCell ref="A2:I2"/>
  </x:mergeCells>
  <x:conditionalFormatting sqref="F5:F389">
    <x:cfRule type="containsText" dxfId="6" priority="1" operator="containsText" text="Missing"/>
    <x:cfRule type="containsText" dxfId="7" priority="2" operator="containsText" text="Review"/>
    <x:cfRule type="containsText" dxfId="8" priority="3" operator="containsText" text="Translated"/>
  </x:conditionalFormatting>
  <x:conditionalFormatting sqref="H5:H389">
    <x:cfRule type="containsText" dxfId="9" priority="4" operator="containsText" text="Missing"/>
    <x:cfRule type="containsText" dxfId="10" priority="5" operator="containsText" text="Review"/>
    <x:cfRule type="containsText" dxfId="11" priority="6" operator="containsText" text="Translated"/>
  </x:conditionalFormatting>
  <x:pageMargins left="0.7" right="0.7" top="0.75" bottom="0.75" header="0.3" footer="0.3"/>
  <x:tableParts count="1">
    <x:tablePart xmlns:r="http://schemas.openxmlformats.org/officeDocument/2006/relationships" r:id="R4316da83f7bf47d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36" hidden="0" customWidth="1"/>
    <x:col min="4" max="4" width="62" hidden="0" customWidth="1"/>
    <x:col min="5" max="5" width="62" hidden="0" customWidth="1"/>
    <x:col min="6" max="6" width="20" hidden="0" customWidth="1"/>
    <x:col min="7" max="7" width="62" hidden="0" customWidth="1"/>
    <x:col min="8" max="8" width="20" hidden="0" customWidth="1"/>
    <x:col min="9" max="9" width="34" hidden="0" customWidth="1"/>
  </x:cols>
  <x:sheetData>
    <x:row r="1" ht="28" customHeight="1">
      <x:c r="A1" s="3" t="str">
        <x:v>Compliance Quiz Translation Pack</x:v>
      </x:c>
      <x:c r="B1" s="3"/>
      <x:c r="C1" s="3"/>
      <x:c r="D1" s="3"/>
      <x:c r="E1" s="3"/>
      <x:c r="F1" s="3"/>
      <x:c r="G1" s="3"/>
      <x:c r="H1" s="3"/>
      <x:c r="I1" s="3"/>
    </x:row>
    <x:row r="2" ht="36" customHeight="1">
      <x:c r="A2" s="7" t="str">
        <x:v>Questions, answer options, explanations, categories, and handbook citations are included. Correct-answer indexes are intentionally excluded.</x:v>
      </x:c>
      <x:c r="B2" s="7"/>
      <x:c r="C2" s="7"/>
      <x:c r="D2" s="7"/>
      <x:c r="E2" s="7"/>
      <x:c r="F2" s="7"/>
      <x:c r="G2" s="7"/>
      <x:c r="H2" s="7"/>
      <x:c r="I2" s="7"/>
    </x:row>
    <x:row r="4">
      <x:c r="A4" s="16" t="str">
        <x:v>Question ID</x:v>
      </x:c>
      <x:c r="B4" s="17" t="str">
        <x:v>Field Key</x:v>
      </x:c>
      <x:c r="C4" s="17" t="str">
        <x:v>Context / Category</x:v>
      </x:c>
      <x:c r="D4" s="17" t="str">
        <x:v>English Source</x:v>
      </x:c>
      <x:c r="E4" s="17" t="str">
        <x:v>Malay (ms)</x:v>
      </x:c>
      <x:c r="F4" s="17" t="str">
        <x:v>Malay Status</x:v>
      </x:c>
      <x:c r="G4" s="17" t="str">
        <x:v>Chinese (zh)</x:v>
      </x:c>
      <x:c r="H4" s="17" t="str">
        <x:v>Chinese Status</x:v>
      </x:c>
      <x:c r="I4" s="18" t="str">
        <x:v>Translator Notes</x:v>
      </x:c>
    </x:row>
    <x:row r="5" ht="48" customHeight="1">
      <x:c r="A5" s="24" t="n">
        <x:v>1</x:v>
      </x:c>
      <x:c r="B5" s="24" t="str">
        <x:v>question</x:v>
      </x:c>
      <x:c r="C5" s="24" t="str">
        <x:v>Question text | Working Hours, Attendance and Overtime</x:v>
      </x:c>
      <x:c r="D5" s="24" t="str">
        <x:v>A colleague asks you to clock them in because they are running late. What should you do?</x:v>
      </x:c>
      <x:c r="E5" s="26" t="str">
        <x:v>Apakah nilai misi teras utama Red Point?</x:v>
      </x:c>
      <x:c r="F5" s="24" t="str">
        <x:f>IF(ISNUMBER(SEARCH("Legacy translation mismatch",$I5)),"Review: legacy mismatch",IF(E5="","Missing",IF(TRIM(E5)=TRIM(D5),"Review: same as English","Translated")))</x:f>
        <x:v>Review: legacy mismatch</x:v>
      </x:c>
      <x:c r="G5" s="26" t="str">
        <x:v>Red Point 的核心使命价值观是什么？</x:v>
      </x:c>
      <x:c r="H5" s="24" t="str">
        <x:f>IF(ISNUMBER(SEARCH("Legacy translation mismatch",$I5)),"Review: legacy mismatch",IF(G5="","Missing",IF(TRIM(G5)=TRIM(D5),"Review: same as English","Translated")))</x:f>
        <x:v>Review: legacy mismatch</x:v>
      </x:c>
      <x:c r="I5" s="26" t="str">
        <x:v>Legacy translation mismatch: this text targets an older quiz question set and must be retranslated.</x:v>
      </x:c>
    </x:row>
    <x:row r="6" ht="34" customHeight="1">
      <x:c r="A6" s="25" t="n">
        <x:v>1</x:v>
      </x:c>
      <x:c r="B6" s="25" t="str">
        <x:v>category</x:v>
      </x:c>
      <x:c r="C6" s="25" t="str">
        <x:v>Category label | Working Hours, Attendance and Overtime</x:v>
      </x:c>
      <x:c r="D6" s="25" t="str">
        <x:v>Working Hours, Attendance and Overtime</x:v>
      </x:c>
      <x:c r="E6" s="27" t="str">
        <x:v>Working Hours, Attendance and Overtime</x:v>
      </x:c>
      <x:c r="F6" s="25" t="str">
        <x:f>IF(ISNUMBER(SEARCH("Legacy translation mismatch",$I6)),"Review: legacy mismatch",IF(E6="","Missing",IF(TRIM(E6)=TRIM(D6),"Review: same as English","Translated")))</x:f>
        <x:v>Review: same as English</x:v>
      </x:c>
      <x:c r="G6" s="27" t="str">
        <x:v>Working Hours, Attendance and Overtime</x:v>
      </x:c>
      <x:c r="H6" s="25" t="str">
        <x:f>IF(ISNUMBER(SEARCH("Legacy translation mismatch",$I6)),"Review: legacy mismatch",IF(G6="","Missing",IF(TRIM(G6)=TRIM(D6),"Review: same as English","Translated")))</x:f>
        <x:v>Review: same as English</x:v>
      </x:c>
      <x:c r="I6" s="27" t="str"/>
    </x:row>
    <x:row r="7" ht="48" customHeight="1">
      <x:c r="A7" s="25" t="n">
        <x:v>1</x:v>
      </x:c>
      <x:c r="B7" s="25" t="str">
        <x:v>options[0]</x:v>
      </x:c>
      <x:c r="C7" s="25" t="str">
        <x:v>Answer option 1 | Working Hours, Attendance and Overtime</x:v>
      </x:c>
      <x:c r="D7" s="25" t="str">
        <x:v>A. Refuse and tell them to record their own attendance accurately.</x:v>
      </x:c>
      <x:c r="E7" s="27" t="str">
        <x:v>Memperkasakan pekerja melalui kejelasan, integriti, dan pengetahuan terstruktur</x:v>
      </x:c>
      <x:c r="F7" s="25" t="str">
        <x:f>IF(ISNUMBER(SEARCH("Legacy translation mismatch",$I7)),"Review: legacy mismatch",IF(E7="","Missing",IF(TRIM(E7)=TRIM(D7),"Review: same as English","Translated")))</x:f>
        <x:v>Review: legacy mismatch</x:v>
      </x:c>
      <x:c r="G7" s="27" t="str">
        <x:v>通过清晰度、诚信和结构化知识赋能员工</x:v>
      </x:c>
      <x:c r="H7" s="25" t="str">
        <x:f>IF(ISNUMBER(SEARCH("Legacy translation mismatch",$I7)),"Review: legacy mismatch",IF(G7="","Missing",IF(TRIM(G7)=TRIM(D7),"Review: same as English","Translated")))</x:f>
        <x:v>Review: legacy mismatch</x:v>
      </x:c>
      <x:c r="I7" s="27" t="str">
        <x:v>Legacy translation mismatch: this text targets an older quiz question set and must be retranslated.</x:v>
      </x:c>
    </x:row>
    <x:row r="8" ht="48" customHeight="1">
      <x:c r="A8" s="25" t="n">
        <x:v>1</x:v>
      </x:c>
      <x:c r="B8" s="25" t="str">
        <x:v>options[1]</x:v>
      </x:c>
      <x:c r="C8" s="25" t="str">
        <x:v>Answer option 2 | Working Hours, Attendance and Overtime</x:v>
      </x:c>
      <x:c r="D8" s="25" t="str">
        <x:v>B. Clock them in if they confirm their arrival time by message.</x:v>
      </x:c>
      <x:c r="E8" s="27" t="str">
        <x:v>Memaksimumkan margin keuntungan suku tahunan jangka pendek</x:v>
      </x:c>
      <x:c r="F8" s="25" t="str">
        <x:f>IF(ISNUMBER(SEARCH("Legacy translation mismatch",$I8)),"Review: legacy mismatch",IF(E8="","Missing",IF(TRIM(E8)=TRIM(D8),"Review: same as English","Translated")))</x:f>
        <x:v>Review: legacy mismatch</x:v>
      </x:c>
      <x:c r="G8" s="27" t="str">
        <x:v>最大化短期季度利润率</x:v>
      </x:c>
      <x:c r="H8" s="25" t="str">
        <x:f>IF(ISNUMBER(SEARCH("Legacy translation mismatch",$I8)),"Review: legacy mismatch",IF(G8="","Missing",IF(TRIM(G8)=TRIM(D8),"Review: same as English","Translated")))</x:f>
        <x:v>Review: legacy mismatch</x:v>
      </x:c>
      <x:c r="I8" s="27" t="str">
        <x:v>Legacy translation mismatch: this text targets an older quiz question set and must be retranslated.</x:v>
      </x:c>
    </x:row>
    <x:row r="9" ht="48" customHeight="1">
      <x:c r="A9" s="25" t="n">
        <x:v>1</x:v>
      </x:c>
      <x:c r="B9" s="25" t="str">
        <x:v>options[2]</x:v>
      </x:c>
      <x:c r="C9" s="25" t="str">
        <x:v>Answer option 3 | Working Hours, Attendance and Overtime</x:v>
      </x:c>
      <x:c r="D9" s="25" t="str">
        <x:v>C. Clock them in and inform the Supervisor at the end of the day.</x:v>
      </x:c>
      <x:c r="E9" s="27" t="str">
        <x:v>Hapuskan semua dokumentasi dalaman</x:v>
      </x:c>
      <x:c r="F9" s="25" t="str">
        <x:f>IF(ISNUMBER(SEARCH("Legacy translation mismatch",$I9)),"Review: legacy mismatch",IF(E9="","Missing",IF(TRIM(E9)=TRIM(D9),"Review: same as English","Translated")))</x:f>
        <x:v>Review: legacy mismatch</x:v>
      </x:c>
      <x:c r="G9" s="27" t="str">
        <x:v>消除所有内部文档</x:v>
      </x:c>
      <x:c r="H9" s="25" t="str">
        <x:f>IF(ISNUMBER(SEARCH("Legacy translation mismatch",$I9)),"Review: legacy mismatch",IF(G9="","Missing",IF(TRIM(G9)=TRIM(D9),"Review: same as English","Translated")))</x:f>
        <x:v>Review: legacy mismatch</x:v>
      </x:c>
      <x:c r="I9" s="27" t="str">
        <x:v>Legacy translation mismatch: this text targets an older quiz question set and must be retranslated.</x:v>
      </x:c>
    </x:row>
    <x:row r="10" ht="48" customHeight="1">
      <x:c r="A10" s="25" t="n">
        <x:v>1</x:v>
      </x:c>
      <x:c r="B10" s="25" t="str">
        <x:v>options[3]</x:v>
      </x:c>
      <x:c r="C10" s="25" t="str">
        <x:v>Answer option 4 | Working Hours, Attendance and Overtime</x:v>
      </x:c>
      <x:c r="D10" s="25" t="str">
        <x:v>D. Use a manual attendance entry so the system is not affected.</x:v>
      </x:c>
      <x:c r="E10" s="27" t="str">
        <x:v>Enforce kehadiran pejabat wajib 12 jam sehari</x:v>
      </x:c>
      <x:c r="F10" s="25" t="str">
        <x:f>IF(ISNUMBER(SEARCH("Legacy translation mismatch",$I10)),"Review: legacy mismatch",IF(E10="","Missing",IF(TRIM(E10)=TRIM(D10),"Review: same as English","Translated")))</x:f>
        <x:v>Review: legacy mismatch</x:v>
      </x:c>
      <x:c r="G10" s="27" t="str">
        <x:v>强制要求每日 12 小时坐班</x:v>
      </x:c>
      <x:c r="H10" s="25" t="str">
        <x:f>IF(ISNUMBER(SEARCH("Legacy translation mismatch",$I10)),"Review: legacy mismatch",IF(G10="","Missing",IF(TRIM(G10)=TRIM(D10),"Review: same as English","Translated")))</x:f>
        <x:v>Review: legacy mismatch</x:v>
      </x:c>
      <x:c r="I10" s="27" t="str">
        <x:v>Legacy translation mismatch: this text targets an older quiz question set and must be retranslated.</x:v>
      </x:c>
    </x:row>
    <x:row r="11" ht="76" customHeight="1">
      <x:c r="A11" s="25" t="n">
        <x:v>1</x:v>
      </x:c>
      <x:c r="B11" s="25" t="str">
        <x:v>explanation</x:v>
      </x:c>
      <x:c r="C11" s="25" t="str">
        <x:v>Answer explanation | Working Hours, Attendance and Overtime</x:v>
      </x:c>
      <x:c r="D11" s="25" t="str">
        <x:v>Employees must record their own attendance accurately. Clocking in or out for another employee and falsifying attendance records are prohibited and may constitute serious misconduct.</x:v>
      </x:c>
      <x:c r="E11" s="27" t="str">
        <x:v>Employees must record their own attendance accurately. Clocking in or out for another employee and falsifying attendance records are prohibited and may constitute serious misconduct.</x:v>
      </x:c>
      <x:c r="F11" s="25" t="str">
        <x:f>IF(ISNUMBER(SEARCH("Legacy translation mismatch",$I11)),"Review: legacy mismatch",IF(E11="","Missing",IF(TRIM(E11)=TRIM(D11),"Review: same as English","Translated")))</x:f>
        <x:v>Review: same as English</x:v>
      </x:c>
      <x:c r="G11" s="27" t="str">
        <x:v>Employees must record their own attendance accurately. Clocking in or out for another employee and falsifying attendance records are prohibited and may constitute serious misconduct.</x:v>
      </x:c>
      <x:c r="H11" s="25" t="str">
        <x:f>IF(ISNUMBER(SEARCH("Legacy translation mismatch",$I11)),"Review: legacy mismatch",IF(G11="","Missing",IF(TRIM(G11)=TRIM(D11),"Review: same as English","Translated")))</x:f>
        <x:v>Review: same as English</x:v>
      </x:c>
      <x:c r="I11" s="27" t="str"/>
    </x:row>
    <x:row r="12" ht="34" customHeight="1">
      <x:c r="A12" s="25" t="n">
        <x:v>1</x:v>
      </x:c>
      <x:c r="B12" s="25" t="str">
        <x:v>handbookSource</x:v>
      </x:c>
      <x:c r="C12" s="25" t="str">
        <x:v>Handbook source citation | Working Hours, Attendance and Overtime</x:v>
      </x:c>
      <x:c r="D12" s="25" t="str">
        <x:v>Part 4, Timekeeping Policy (PDF p. 20)</x:v>
      </x:c>
      <x:c r="E12" s="27" t="str">
        <x:v>Part 4, Timekeeping Policy (PDF p. 20)</x:v>
      </x:c>
      <x:c r="F12" s="25" t="str">
        <x:f>IF(ISNUMBER(SEARCH("Legacy translation mismatch",$I12)),"Review: legacy mismatch",IF(E12="","Missing",IF(TRIM(E12)=TRIM(D12),"Review: same as English","Translated")))</x:f>
        <x:v>Review: same as English</x:v>
      </x:c>
      <x:c r="G12" s="27" t="str">
        <x:v>Part 4, Timekeeping Policy (PDF p. 20)</x:v>
      </x:c>
      <x:c r="H12" s="25" t="str">
        <x:f>IF(ISNUMBER(SEARCH("Legacy translation mismatch",$I12)),"Review: legacy mismatch",IF(G12="","Missing",IF(TRIM(G12)=TRIM(D12),"Review: same as English","Translated")))</x:f>
        <x:v>Review: same as English</x:v>
      </x:c>
      <x:c r="I12" s="27" t="str"/>
    </x:row>
    <x:row r="13" ht="48" customHeight="1">
      <x:c r="A13" s="25" t="n">
        <x:v>2</x:v>
      </x:c>
      <x:c r="B13" s="25" t="str">
        <x:v>question</x:v>
      </x:c>
      <x:c r="C13" s="25" t="str">
        <x:v>Question text | Working Hours, Attendance and Overtime</x:v>
      </x:c>
      <x:c r="D13" s="25" t="str">
        <x:v>You expect to arrive after your scheduled reporting time because of an unforeseen transport problem. What should you do first?</x:v>
      </x:c>
      <x:c r="E13" s="27" t="str">
        <x:v>Berapakah kelayakan cuti tahunan standard untuk pekerja sepenuh masa di Red Point?</x:v>
      </x:c>
      <x:c r="F13" s="25" t="str">
        <x:f>IF(ISNUMBER(SEARCH("Legacy translation mismatch",$I13)),"Review: legacy mismatch",IF(E13="","Missing",IF(TRIM(E13)=TRIM(D13),"Review: same as English","Translated")))</x:f>
        <x:v>Review: legacy mismatch</x:v>
      </x:c>
      <x:c r="G13" s="27" t="str">
        <x:v>Red Point 的全职员工每年享有几天标准法定年假？</x:v>
      </x:c>
      <x:c r="H13" s="25" t="str">
        <x:f>IF(ISNUMBER(SEARCH("Legacy translation mismatch",$I13)),"Review: legacy mismatch",IF(G13="","Missing",IF(TRIM(G13)=TRIM(D13),"Review: same as English","Translated")))</x:f>
        <x:v>Review: legacy mismatch</x:v>
      </x:c>
      <x:c r="I13" s="27" t="str">
        <x:v>Legacy translation mismatch: this text targets an older quiz question set and must be retranslated.</x:v>
      </x:c>
    </x:row>
    <x:row r="14" ht="34" customHeight="1">
      <x:c r="A14" s="25" t="n">
        <x:v>2</x:v>
      </x:c>
      <x:c r="B14" s="25" t="str">
        <x:v>category</x:v>
      </x:c>
      <x:c r="C14" s="25" t="str">
        <x:v>Category label | Working Hours, Attendance and Overtime</x:v>
      </x:c>
      <x:c r="D14" s="25" t="str">
        <x:v>Working Hours, Attendance and Overtime</x:v>
      </x:c>
      <x:c r="E14" s="27" t="str">
        <x:v>Working Hours, Attendance and Overtime</x:v>
      </x:c>
      <x:c r="F14" s="25" t="str">
        <x:f>IF(ISNUMBER(SEARCH("Legacy translation mismatch",$I14)),"Review: legacy mismatch",IF(E14="","Missing",IF(TRIM(E14)=TRIM(D14),"Review: same as English","Translated")))</x:f>
        <x:v>Review: same as English</x:v>
      </x:c>
      <x:c r="G14" s="27" t="str">
        <x:v>Working Hours, Attendance and Overtime</x:v>
      </x:c>
      <x:c r="H14" s="25" t="str">
        <x:f>IF(ISNUMBER(SEARCH("Legacy translation mismatch",$I14)),"Review: legacy mismatch",IF(G14="","Missing",IF(TRIM(G14)=TRIM(D14),"Review: same as English","Translated")))</x:f>
        <x:v>Review: same as English</x:v>
      </x:c>
      <x:c r="I14" s="27" t="str"/>
    </x:row>
    <x:row r="15" ht="48" customHeight="1">
      <x:c r="A15" s="25" t="n">
        <x:v>2</x:v>
      </x:c>
      <x:c r="B15" s="25" t="str">
        <x:v>options[0]</x:v>
      </x:c>
      <x:c r="C15" s="25" t="str">
        <x:v>Answer option 1 | Working Hours, Attendance and Overtime</x:v>
      </x:c>
      <x:c r="D15" s="25" t="str">
        <x:v>A. Wait until you arrive and explain the reason.</x:v>
      </x:c>
      <x:c r="E15" s="27" t="str">
        <x:v>10 hari</x:v>
      </x:c>
      <x:c r="F15" s="25" t="str">
        <x:f>IF(ISNUMBER(SEARCH("Legacy translation mismatch",$I15)),"Review: legacy mismatch",IF(E15="","Missing",IF(TRIM(E15)=TRIM(D15),"Review: same as English","Translated")))</x:f>
        <x:v>Review: legacy mismatch</x:v>
      </x:c>
      <x:c r="G15" s="27" t="str">
        <x:v>10 天</x:v>
      </x:c>
      <x:c r="H15" s="25" t="str">
        <x:f>IF(ISNUMBER(SEARCH("Legacy translation mismatch",$I15)),"Review: legacy mismatch",IF(G15="","Missing",IF(TRIM(G15)=TRIM(D15),"Review: same as English","Translated")))</x:f>
        <x:v>Review: legacy mismatch</x:v>
      </x:c>
      <x:c r="I15" s="27" t="str">
        <x:v>Legacy translation mismatch: this text targets an older quiz question set and must be retranslated.</x:v>
      </x:c>
    </x:row>
    <x:row r="16" ht="48" customHeight="1">
      <x:c r="A16" s="25" t="n">
        <x:v>2</x:v>
      </x:c>
      <x:c r="B16" s="25" t="str">
        <x:v>options[1]</x:v>
      </x:c>
      <x:c r="C16" s="25" t="str">
        <x:v>Answer option 2 | Working Hours, Attendance and Overtime</x:v>
      </x:c>
      <x:c r="D16" s="25" t="str">
        <x:v>B. Notify your Supervisor immediately and provide a valid reason.</x:v>
      </x:c>
      <x:c r="E16" s="27" t="str">
        <x:v>14 hari</x:v>
      </x:c>
      <x:c r="F16" s="25" t="str">
        <x:f>IF(ISNUMBER(SEARCH("Legacy translation mismatch",$I16)),"Review: legacy mismatch",IF(E16="","Missing",IF(TRIM(E16)=TRIM(D16),"Review: same as English","Translated")))</x:f>
        <x:v>Review: legacy mismatch</x:v>
      </x:c>
      <x:c r="G16" s="27" t="str">
        <x:v>14 天</x:v>
      </x:c>
      <x:c r="H16" s="25" t="str">
        <x:f>IF(ISNUMBER(SEARCH("Legacy translation mismatch",$I16)),"Review: legacy mismatch",IF(G16="","Missing",IF(TRIM(G16)=TRIM(D16),"Review: same as English","Translated")))</x:f>
        <x:v>Review: legacy mismatch</x:v>
      </x:c>
      <x:c r="I16" s="27" t="str">
        <x:v>Legacy translation mismatch: this text targets an older quiz question set and must be retranslated.</x:v>
      </x:c>
    </x:row>
    <x:row r="17" ht="48" customHeight="1">
      <x:c r="A17" s="25" t="n">
        <x:v>2</x:v>
      </x:c>
      <x:c r="B17" s="25" t="str">
        <x:v>options[2]</x:v>
      </x:c>
      <x:c r="C17" s="25" t="str">
        <x:v>Answer option 3 | Working Hours, Attendance and Overtime</x:v>
      </x:c>
      <x:c r="D17" s="25" t="str">
        <x:v>C. Use the 15-minute grace period without notifying anyone.</x:v>
      </x:c>
      <x:c r="E17" s="27" t="str">
        <x:v>18 hari</x:v>
      </x:c>
      <x:c r="F17" s="25" t="str">
        <x:f>IF(ISNUMBER(SEARCH("Legacy translation mismatch",$I17)),"Review: legacy mismatch",IF(E17="","Missing",IF(TRIM(E17)=TRIM(D17),"Review: same as English","Translated")))</x:f>
        <x:v>Review: legacy mismatch</x:v>
      </x:c>
      <x:c r="G17" s="27" t="str">
        <x:v>18 天</x:v>
      </x:c>
      <x:c r="H17" s="25" t="str">
        <x:f>IF(ISNUMBER(SEARCH("Legacy translation mismatch",$I17)),"Review: legacy mismatch",IF(G17="","Missing",IF(TRIM(G17)=TRIM(D17),"Review: same as English","Translated")))</x:f>
        <x:v>Review: legacy mismatch</x:v>
      </x:c>
      <x:c r="I17" s="27" t="str">
        <x:v>Legacy translation mismatch: this text targets an older quiz question set and must be retranslated.</x:v>
      </x:c>
    </x:row>
    <x:row r="18" ht="48" customHeight="1">
      <x:c r="A18" s="25" t="n">
        <x:v>2</x:v>
      </x:c>
      <x:c r="B18" s="25" t="str">
        <x:v>options[3]</x:v>
      </x:c>
      <x:c r="C18" s="25" t="str">
        <x:v>Answer option 4 | Working Hours, Attendance and Overtime</x:v>
      </x:c>
      <x:c r="D18" s="25" t="str">
        <x:v>D. Ask a colleague to update the attendance record for you.</x:v>
      </x:c>
      <x:c r="E18" s="27" t="str">
        <x:v>25 hari</x:v>
      </x:c>
      <x:c r="F18" s="25" t="str">
        <x:f>IF(ISNUMBER(SEARCH("Legacy translation mismatch",$I18)),"Review: legacy mismatch",IF(E18="","Missing",IF(TRIM(E18)=TRIM(D18),"Review: same as English","Translated")))</x:f>
        <x:v>Review: legacy mismatch</x:v>
      </x:c>
      <x:c r="G18" s="27" t="str">
        <x:v>25 天</x:v>
      </x:c>
      <x:c r="H18" s="25" t="str">
        <x:f>IF(ISNUMBER(SEARCH("Legacy translation mismatch",$I18)),"Review: legacy mismatch",IF(G18="","Missing",IF(TRIM(G18)=TRIM(D18),"Review: same as English","Translated")))</x:f>
        <x:v>Review: legacy mismatch</x:v>
      </x:c>
      <x:c r="I18" s="27" t="str">
        <x:v>Legacy translation mismatch: this text targets an older quiz question set and must be retranslated.</x:v>
      </x:c>
    </x:row>
    <x:row r="19" ht="76" customHeight="1">
      <x:c r="A19" s="25" t="n">
        <x:v>2</x:v>
      </x:c>
      <x:c r="B19" s="25" t="str">
        <x:v>explanation</x:v>
      </x:c>
      <x:c r="C19" s="25" t="str">
        <x:v>Answer explanation | Working Hours, Attendance and Overtime</x:v>
      </x:c>
      <x:c r="D19" s="25" t="str">
        <x:v>An employee who expects to be late must notify the Supervisor immediately with a valid and acceptable reason. The 15-minute grace period is discretionary, not an entitlement.</x:v>
      </x:c>
      <x:c r="E19" s="27" t="str">
        <x:v>An employee who expects to be late must notify the Supervisor immediately with a valid and acceptable reason. The 15-minute grace period is discretionary, not an entitlement.</x:v>
      </x:c>
      <x:c r="F19" s="25" t="str">
        <x:f>IF(ISNUMBER(SEARCH("Legacy translation mismatch",$I19)),"Review: legacy mismatch",IF(E19="","Missing",IF(TRIM(E19)=TRIM(D19),"Review: same as English","Translated")))</x:f>
        <x:v>Review: same as English</x:v>
      </x:c>
      <x:c r="G19" s="27" t="str">
        <x:v>An employee who expects to be late must notify the Supervisor immediately with a valid and acceptable reason. The 15-minute grace period is discretionary, not an entitlement.</x:v>
      </x:c>
      <x:c r="H19" s="25" t="str">
        <x:f>IF(ISNUMBER(SEARCH("Legacy translation mismatch",$I19)),"Review: legacy mismatch",IF(G19="","Missing",IF(TRIM(G19)=TRIM(D19),"Review: same as English","Translated")))</x:f>
        <x:v>Review: same as English</x:v>
      </x:c>
      <x:c r="I19" s="27" t="str"/>
    </x:row>
    <x:row r="20" ht="34" customHeight="1">
      <x:c r="A20" s="25" t="n">
        <x:v>2</x:v>
      </x:c>
      <x:c r="B20" s="25" t="str">
        <x:v>handbookSource</x:v>
      </x:c>
      <x:c r="C20" s="25" t="str">
        <x:v>Handbook source citation | Working Hours, Attendance and Overtime</x:v>
      </x:c>
      <x:c r="D20" s="25" t="str">
        <x:v>Part 4, Late Coming Policy (PDF pp. 20-21)</x:v>
      </x:c>
      <x:c r="E20" s="27" t="str">
        <x:v>Part 4, Late Coming Policy (PDF pp. 20-21)</x:v>
      </x:c>
      <x:c r="F20" s="25" t="str">
        <x:f>IF(ISNUMBER(SEARCH("Legacy translation mismatch",$I20)),"Review: legacy mismatch",IF(E20="","Missing",IF(TRIM(E20)=TRIM(D20),"Review: same as English","Translated")))</x:f>
        <x:v>Review: same as English</x:v>
      </x:c>
      <x:c r="G20" s="27" t="str">
        <x:v>Part 4, Late Coming Policy (PDF pp. 20-21)</x:v>
      </x:c>
      <x:c r="H20" s="25" t="str">
        <x:f>IF(ISNUMBER(SEARCH("Legacy translation mismatch",$I20)),"Review: legacy mismatch",IF(G20="","Missing",IF(TRIM(G20)=TRIM(D20),"Review: same as English","Translated")))</x:f>
        <x:v>Review: same as English</x:v>
      </x:c>
      <x:c r="I20" s="27" t="str"/>
    </x:row>
    <x:row r="21" ht="48" customHeight="1">
      <x:c r="A21" s="25" t="n">
        <x:v>3</x:v>
      </x:c>
      <x:c r="B21" s="25" t="str">
        <x:v>question</x:v>
      </x:c>
      <x:c r="C21" s="25" t="str">
        <x:v>Question text | Working Hours, Attendance and Overtime</x:v>
      </x:c>
      <x:c r="D21" s="25" t="str">
        <x:v>When working remotely, which responsibilities continue to apply? Select all that apply.</x:v>
      </x:c>
      <x:c r="E21" s="27" t="str">
        <x:v>Apakah markah lulus yang diperlukan untuk Kuiz Pematuhan &amp; Buku Panduan?</x:v>
      </x:c>
      <x:c r="F21" s="25" t="str">
        <x:f>IF(ISNUMBER(SEARCH("Legacy translation mismatch",$I21)),"Review: legacy mismatch",IF(E21="","Missing",IF(TRIM(E21)=TRIM(D21),"Review: same as English","Translated")))</x:f>
        <x:v>Review: legacy mismatch</x:v>
      </x:c>
      <x:c r="G21" s="27" t="str">
        <x:v>合规与手册测试要求的合格分数是多少？</x:v>
      </x:c>
      <x:c r="H21" s="25" t="str">
        <x:f>IF(ISNUMBER(SEARCH("Legacy translation mismatch",$I21)),"Review: legacy mismatch",IF(G21="","Missing",IF(TRIM(G21)=TRIM(D21),"Review: same as English","Translated")))</x:f>
        <x:v>Review: legacy mismatch</x:v>
      </x:c>
      <x:c r="I21" s="27" t="str">
        <x:v>Legacy translation mismatch: this text targets an older quiz question set and must be retranslated.</x:v>
      </x:c>
    </x:row>
    <x:row r="22" ht="34" customHeight="1">
      <x:c r="A22" s="25" t="n">
        <x:v>3</x:v>
      </x:c>
      <x:c r="B22" s="25" t="str">
        <x:v>category</x:v>
      </x:c>
      <x:c r="C22" s="25" t="str">
        <x:v>Category label | Working Hours, Attendance and Overtime</x:v>
      </x:c>
      <x:c r="D22" s="25" t="str">
        <x:v>Working Hours, Attendance and Overtime</x:v>
      </x:c>
      <x:c r="E22" s="27" t="str">
        <x:v>Working Hours, Attendance and Overtime</x:v>
      </x:c>
      <x:c r="F22" s="25" t="str">
        <x:f>IF(ISNUMBER(SEARCH("Legacy translation mismatch",$I22)),"Review: legacy mismatch",IF(E22="","Missing",IF(TRIM(E22)=TRIM(D22),"Review: same as English","Translated")))</x:f>
        <x:v>Review: same as English</x:v>
      </x:c>
      <x:c r="G22" s="27" t="str">
        <x:v>Working Hours, Attendance and Overtime</x:v>
      </x:c>
      <x:c r="H22" s="25" t="str">
        <x:f>IF(ISNUMBER(SEARCH("Legacy translation mismatch",$I22)),"Review: legacy mismatch",IF(G22="","Missing",IF(TRIM(G22)=TRIM(D22),"Review: same as English","Translated")))</x:f>
        <x:v>Review: same as English</x:v>
      </x:c>
      <x:c r="I22" s="27" t="str"/>
    </x:row>
    <x:row r="23" ht="48" customHeight="1">
      <x:c r="A23" s="25" t="n">
        <x:v>3</x:v>
      </x:c>
      <x:c r="B23" s="25" t="str">
        <x:v>options[0]</x:v>
      </x:c>
      <x:c r="C23" s="25" t="str">
        <x:v>Answer option 1 | Working Hours, Attendance and Overtime</x:v>
      </x:c>
      <x:c r="D23" s="25" t="str">
        <x:v>A. Remain contactable during working hours.</x:v>
      </x:c>
      <x:c r="E23" s="27" t="str">
        <x:v>50%</x:v>
      </x:c>
      <x:c r="F23" s="25" t="str">
        <x:f>IF(ISNUMBER(SEARCH("Legacy translation mismatch",$I23)),"Review: legacy mismatch",IF(E23="","Missing",IF(TRIM(E23)=TRIM(D23),"Review: same as English","Translated")))</x:f>
        <x:v>Review: legacy mismatch</x:v>
      </x:c>
      <x:c r="G23" s="27" t="str">
        <x:v>50%</x:v>
      </x:c>
      <x:c r="H23" s="25" t="str">
        <x:f>IF(ISNUMBER(SEARCH("Legacy translation mismatch",$I23)),"Review: legacy mismatch",IF(G23="","Missing",IF(TRIM(G23)=TRIM(D23),"Review: same as English","Translated")))</x:f>
        <x:v>Review: legacy mismatch</x:v>
      </x:c>
      <x:c r="I23" s="27" t="str">
        <x:v>Legacy translation mismatch: this text targets an older quiz question set and must be retranslated.</x:v>
      </x:c>
    </x:row>
    <x:row r="24" ht="48" customHeight="1">
      <x:c r="A24" s="25" t="n">
        <x:v>3</x:v>
      </x:c>
      <x:c r="B24" s="25" t="str">
        <x:v>options[1]</x:v>
      </x:c>
      <x:c r="C24" s="25" t="str">
        <x:v>Answer option 2 | Working Hours, Attendance and Overtime</x:v>
      </x:c>
      <x:c r="D24" s="25" t="str">
        <x:v>B. Attend meetings and calls promptly.</x:v>
      </x:c>
      <x:c r="E24" s="27" t="str">
        <x:v>60%</x:v>
      </x:c>
      <x:c r="F24" s="25" t="str">
        <x:f>IF(ISNUMBER(SEARCH("Legacy translation mismatch",$I24)),"Review: legacy mismatch",IF(E24="","Missing",IF(TRIM(E24)=TRIM(D24),"Review: same as English","Translated")))</x:f>
        <x:v>Review: legacy mismatch</x:v>
      </x:c>
      <x:c r="G24" s="27" t="str">
        <x:v>60%</x:v>
      </x:c>
      <x:c r="H24" s="25" t="str">
        <x:f>IF(ISNUMBER(SEARCH("Legacy translation mismatch",$I24)),"Review: legacy mismatch",IF(G24="","Missing",IF(TRIM(G24)=TRIM(D24),"Review: same as English","Translated")))</x:f>
        <x:v>Review: legacy mismatch</x:v>
      </x:c>
      <x:c r="I24" s="27" t="str">
        <x:v>Legacy translation mismatch: this text targets an older quiz question set and must be retranslated.</x:v>
      </x:c>
    </x:row>
    <x:row r="25" ht="48" customHeight="1">
      <x:c r="A25" s="25" t="n">
        <x:v>3</x:v>
      </x:c>
      <x:c r="B25" s="25" t="str">
        <x:v>options[2]</x:v>
      </x:c>
      <x:c r="C25" s="25" t="str">
        <x:v>Answer option 3 | Working Hours, Attendance and Overtime</x:v>
      </x:c>
      <x:c r="D25" s="25" t="str">
        <x:v>C. Meet deadlines and maintain productivity standards.</x:v>
      </x:c>
      <x:c r="E25" s="27" t="str">
        <x:v>65% (Gred A)</x:v>
      </x:c>
      <x:c r="F25" s="25" t="str">
        <x:f>IF(ISNUMBER(SEARCH("Legacy translation mismatch",$I25)),"Review: legacy mismatch",IF(E25="","Missing",IF(TRIM(E25)=TRIM(D25),"Review: same as English","Translated")))</x:f>
        <x:v>Review: legacy mismatch</x:v>
      </x:c>
      <x:c r="G25" s="27" t="str">
        <x:v>65%（A级）</x:v>
      </x:c>
      <x:c r="H25" s="25" t="str">
        <x:f>IF(ISNUMBER(SEARCH("Legacy translation mismatch",$I25)),"Review: legacy mismatch",IF(G25="","Missing",IF(TRIM(G25)=TRIM(D25),"Review: same as English","Translated")))</x:f>
        <x:v>Review: legacy mismatch</x:v>
      </x:c>
      <x:c r="I25" s="27" t="str">
        <x:v>Legacy translation mismatch: this text targets an older quiz question set and must be retranslated.</x:v>
      </x:c>
    </x:row>
    <x:row r="26" ht="48" customHeight="1">
      <x:c r="A26" s="25" t="n">
        <x:v>3</x:v>
      </x:c>
      <x:c r="B26" s="25" t="str">
        <x:v>options[3]</x:v>
      </x:c>
      <x:c r="C26" s="25" t="str">
        <x:v>Answer option 4 | Working Hours, Attendance and Overtime</x:v>
      </x:c>
      <x:c r="D26" s="25" t="str">
        <x:v>D. Protect Company and client information.</x:v>
      </x:c>
      <x:c r="E26" s="27" t="str">
        <x:v>90%</x:v>
      </x:c>
      <x:c r="F26" s="25" t="str">
        <x:f>IF(ISNUMBER(SEARCH("Legacy translation mismatch",$I26)),"Review: legacy mismatch",IF(E26="","Missing",IF(TRIM(E26)=TRIM(D26),"Review: same as English","Translated")))</x:f>
        <x:v>Review: legacy mismatch</x:v>
      </x:c>
      <x:c r="G26" s="27" t="str">
        <x:v>90%</x:v>
      </x:c>
      <x:c r="H26" s="25" t="str">
        <x:f>IF(ISNUMBER(SEARCH("Legacy translation mismatch",$I26)),"Review: legacy mismatch",IF(G26="","Missing",IF(TRIM(G26)=TRIM(D26),"Review: same as English","Translated")))</x:f>
        <x:v>Review: legacy mismatch</x:v>
      </x:c>
      <x:c r="I26" s="27" t="str">
        <x:v>Legacy translation mismatch: this text targets an older quiz question set and must be retranslated.</x:v>
      </x:c>
    </x:row>
    <x:row r="27" ht="48" customHeight="1">
      <x:c r="A27" s="25" t="n">
        <x:v>3</x:v>
      </x:c>
      <x:c r="B27" s="25" t="str">
        <x:v>options[4]</x:v>
      </x:c>
      <x:c r="C27" s="25" t="str">
        <x:v>Answer option 5 | Working Hours, Attendance and Overtime</x:v>
      </x:c>
      <x:c r="D27" s="25" t="str">
        <x:v>E. Treat remote work as a permanent entitlement that cannot be withdrawn.</x:v>
      </x:c>
      <x:c r="E27" s="27" t="str"/>
      <x:c r="F27" s="25" t="str">
        <x:f>IF(ISNUMBER(SEARCH("Legacy translation mismatch",$I27)),"Review: legacy mismatch",IF(E27="","Missing",IF(TRIM(E27)=TRIM(D27),"Review: same as English","Translated")))</x:f>
        <x:v>Review: legacy mismatch</x:v>
      </x:c>
      <x:c r="G27" s="27" t="str"/>
      <x:c r="H27" s="25" t="str">
        <x:f>IF(ISNUMBER(SEARCH("Legacy translation mismatch",$I27)),"Review: legacy mismatch",IF(G27="","Missing",IF(TRIM(G27)=TRIM(D27),"Review: same as English","Translated")))</x:f>
        <x:v>Review: legacy mismatch</x:v>
      </x:c>
      <x:c r="I27" s="27" t="str">
        <x:v>Legacy translation mismatch: this text targets an older quiz question set and must be retranslated.</x:v>
      </x:c>
    </x:row>
    <x:row r="28" ht="76" customHeight="1">
      <x:c r="A28" s="25" t="n">
        <x:v>3</x:v>
      </x:c>
      <x:c r="B28" s="25" t="str">
        <x:v>explanation</x:v>
      </x:c>
      <x:c r="C28" s="25" t="str">
        <x:v>Answer explanation | Working Hours, Attendance and Overtime</x:v>
      </x:c>
      <x:c r="D28" s="25" t="str">
        <x:v>Remote employees remain responsible for availability, meetings, deliverables, performance and information security. Remote work is discretionary and employees may be instructed to return to the office.</x:v>
      </x:c>
      <x:c r="E28" s="27" t="str">
        <x:v>Remote employees remain responsible for availability, meetings, deliverables, performance and information security. Remote work is discretionary and employees may be instructed to return to the office.</x:v>
      </x:c>
      <x:c r="F28" s="25" t="str">
        <x:f>IF(ISNUMBER(SEARCH("Legacy translation mismatch",$I28)),"Review: legacy mismatch",IF(E28="","Missing",IF(TRIM(E28)=TRIM(D28),"Review: same as English","Translated")))</x:f>
        <x:v>Review: same as English</x:v>
      </x:c>
      <x:c r="G28" s="27" t="str">
        <x:v>Remote employees remain responsible for availability, meetings, deliverables, performance and information security. Remote work is discretionary and employees may be instructed to return to the office.</x:v>
      </x:c>
      <x:c r="H28" s="25" t="str">
        <x:f>IF(ISNUMBER(SEARCH("Legacy translation mismatch",$I28)),"Review: legacy mismatch",IF(G28="","Missing",IF(TRIM(G28)=TRIM(D28),"Review: same as English","Translated")))</x:f>
        <x:v>Review: same as English</x:v>
      </x:c>
      <x:c r="I28" s="27" t="str"/>
    </x:row>
    <x:row r="29" ht="34" customHeight="1">
      <x:c r="A29" s="25" t="n">
        <x:v>3</x:v>
      </x:c>
      <x:c r="B29" s="25" t="str">
        <x:v>handbookSource</x:v>
      </x:c>
      <x:c r="C29" s="25" t="str">
        <x:v>Handbook source citation | Working Hours, Attendance and Overtime</x:v>
      </x:c>
      <x:c r="D29" s="25" t="str">
        <x:v>Part 4, Remote Work Policy (PDF p. 19)</x:v>
      </x:c>
      <x:c r="E29" s="27" t="str">
        <x:v>Part 4, Remote Work Policy (PDF p. 19)</x:v>
      </x:c>
      <x:c r="F29" s="25" t="str">
        <x:f>IF(ISNUMBER(SEARCH("Legacy translation mismatch",$I29)),"Review: legacy mismatch",IF(E29="","Missing",IF(TRIM(E29)=TRIM(D29),"Review: same as English","Translated")))</x:f>
        <x:v>Review: same as English</x:v>
      </x:c>
      <x:c r="G29" s="27" t="str">
        <x:v>Part 4, Remote Work Policy (PDF p. 19)</x:v>
      </x:c>
      <x:c r="H29" s="25" t="str">
        <x:f>IF(ISNUMBER(SEARCH("Legacy translation mismatch",$I29)),"Review: legacy mismatch",IF(G29="","Missing",IF(TRIM(G29)=TRIM(D29),"Review: same as English","Translated")))</x:f>
        <x:v>Review: same as English</x:v>
      </x:c>
      <x:c r="I29" s="27" t="str"/>
    </x:row>
    <x:row r="30" ht="48" customHeight="1">
      <x:c r="A30" s="25" t="n">
        <x:v>4</x:v>
      </x:c>
      <x:c r="B30" s="25" t="str">
        <x:v>question</x:v>
      </x:c>
      <x:c r="C30" s="25" t="str">
        <x:v>Question text | Working Hours, Attendance and Overtime</x:v>
      </x:c>
      <x:c r="D30" s="25" t="str">
        <x:v>A project requires you to work on a public holiday. Which arrangement best follows the handbook?</x:v>
      </x:c>
      <x:c r="E30" s="27" t="str">
        <x:v>Sekiranya pekerja gagal kuiz pematuhan, apakah tempoh bertenang sebelum menduduki semula?</x:v>
      </x:c>
      <x:c r="F30" s="25" t="str">
        <x:f>IF(ISNUMBER(SEARCH("Legacy translation mismatch",$I30)),"Review: legacy mismatch",IF(E30="","Missing",IF(TRIM(E30)=TRIM(D30),"Review: same as English","Translated")))</x:f>
        <x:v>Review: legacy mismatch</x:v>
      </x:c>
      <x:c r="G30" s="27" t="str">
        <x:v>如果员工未通过合规测试，补考前需要多少时间的冷静等待期？</x:v>
      </x:c>
      <x:c r="H30" s="25" t="str">
        <x:f>IF(ISNUMBER(SEARCH("Legacy translation mismatch",$I30)),"Review: legacy mismatch",IF(G30="","Missing",IF(TRIM(G30)=TRIM(D30),"Review: same as English","Translated")))</x:f>
        <x:v>Review: legacy mismatch</x:v>
      </x:c>
      <x:c r="I30" s="27" t="str">
        <x:v>Legacy translation mismatch: this text targets an older quiz question set and must be retranslated.</x:v>
      </x:c>
    </x:row>
    <x:row r="31" ht="34" customHeight="1">
      <x:c r="A31" s="25" t="n">
        <x:v>4</x:v>
      </x:c>
      <x:c r="B31" s="25" t="str">
        <x:v>category</x:v>
      </x:c>
      <x:c r="C31" s="25" t="str">
        <x:v>Category label | Working Hours, Attendance and Overtime</x:v>
      </x:c>
      <x:c r="D31" s="25" t="str">
        <x:v>Working Hours, Attendance and Overtime</x:v>
      </x:c>
      <x:c r="E31" s="27" t="str">
        <x:v>Working Hours, Attendance and Overtime</x:v>
      </x:c>
      <x:c r="F31" s="25" t="str">
        <x:f>IF(ISNUMBER(SEARCH("Legacy translation mismatch",$I31)),"Review: legacy mismatch",IF(E31="","Missing",IF(TRIM(E31)=TRIM(D31),"Review: same as English","Translated")))</x:f>
        <x:v>Review: same as English</x:v>
      </x:c>
      <x:c r="G31" s="27" t="str">
        <x:v>Working Hours, Attendance and Overtime</x:v>
      </x:c>
      <x:c r="H31" s="25" t="str">
        <x:f>IF(ISNUMBER(SEARCH("Legacy translation mismatch",$I31)),"Review: legacy mismatch",IF(G31="","Missing",IF(TRIM(G31)=TRIM(D31),"Review: same as English","Translated")))</x:f>
        <x:v>Review: same as English</x:v>
      </x:c>
      <x:c r="I31" s="27" t="str"/>
    </x:row>
    <x:row r="32" ht="48" customHeight="1">
      <x:c r="A32" s="25" t="n">
        <x:v>4</x:v>
      </x:c>
      <x:c r="B32" s="25" t="str">
        <x:v>options[0]</x:v>
      </x:c>
      <x:c r="C32" s="25" t="str">
        <x:v>Answer option 1 | Working Hours, Attendance and Overtime</x:v>
      </x:c>
      <x:c r="D32" s="25" t="str">
        <x:v>A. Work first and decide later whether to claim overtime or leave.</x:v>
      </x:c>
      <x:c r="E32" s="27" t="str">
        <x:v>Tiada tempoh menunggu</x:v>
      </x:c>
      <x:c r="F32" s="25" t="str">
        <x:f>IF(ISNUMBER(SEARCH("Legacy translation mismatch",$I32)),"Review: legacy mismatch",IF(E32="","Missing",IF(TRIM(E32)=TRIM(D32),"Review: same as English","Translated")))</x:f>
        <x:v>Review: legacy mismatch</x:v>
      </x:c>
      <x:c r="G32" s="27" t="str">
        <x:v>无需等待</x:v>
      </x:c>
      <x:c r="H32" s="25" t="str">
        <x:f>IF(ISNUMBER(SEARCH("Legacy translation mismatch",$I32)),"Review: legacy mismatch",IF(G32="","Missing",IF(TRIM(G32)=TRIM(D32),"Review: same as English","Translated")))</x:f>
        <x:v>Review: legacy mismatch</x:v>
      </x:c>
      <x:c r="I32" s="27" t="str">
        <x:v>Legacy translation mismatch: this text targets an older quiz question set and must be retranslated.</x:v>
      </x:c>
    </x:row>
    <x:row r="33" ht="48" customHeight="1">
      <x:c r="A33" s="25" t="n">
        <x:v>4</x:v>
      </x:c>
      <x:c r="B33" s="25" t="str">
        <x:v>options[1]</x:v>
      </x:c>
      <x:c r="C33" s="25" t="str">
        <x:v>Answer option 2 | Working Hours, Attendance and Overtime</x:v>
      </x:c>
      <x:c r="D33" s="25" t="str">
        <x:v>B. Obtain prior approval; any overtime, time-off or replacement leave is then determined under Company policy.</x:v>
      </x:c>
      <x:c r="E33" s="27" t="str">
        <x:v>1 jam</x:v>
      </x:c>
      <x:c r="F33" s="25" t="str">
        <x:f>IF(ISNUMBER(SEARCH("Legacy translation mismatch",$I33)),"Review: legacy mismatch",IF(E33="","Missing",IF(TRIM(E33)=TRIM(D33),"Review: same as English","Translated")))</x:f>
        <x:v>Review: legacy mismatch</x:v>
      </x:c>
      <x:c r="G33" s="27" t="str">
        <x:v>1 小时</x:v>
      </x:c>
      <x:c r="H33" s="25" t="str">
        <x:f>IF(ISNUMBER(SEARCH("Legacy translation mismatch",$I33)),"Review: legacy mismatch",IF(G33="","Missing",IF(TRIM(G33)=TRIM(D33),"Review: same as English","Translated")))</x:f>
        <x:v>Review: legacy mismatch</x:v>
      </x:c>
      <x:c r="I33" s="27" t="str">
        <x:v>Legacy translation mismatch: this text targets an older quiz question set and must be retranslated.</x:v>
      </x:c>
    </x:row>
    <x:row r="34" ht="48" customHeight="1">
      <x:c r="A34" s="25" t="n">
        <x:v>4</x:v>
      </x:c>
      <x:c r="B34" s="25" t="str">
        <x:v>options[2]</x:v>
      </x:c>
      <x:c r="C34" s="25" t="str">
        <x:v>Answer option 3 | Working Hours, Attendance and Overtime</x:v>
      </x:c>
      <x:c r="D34" s="25" t="str">
        <x:v>C. Record the extra hours as annual leave credit without approval.</x:v>
      </x:c>
      <x:c r="E34" s="27" t="str">
        <x:v>12 jam</x:v>
      </x:c>
      <x:c r="F34" s="25" t="str">
        <x:f>IF(ISNUMBER(SEARCH("Legacy translation mismatch",$I34)),"Review: legacy mismatch",IF(E34="","Missing",IF(TRIM(E34)=TRIM(D34),"Review: same as English","Translated")))</x:f>
        <x:v>Review: legacy mismatch</x:v>
      </x:c>
      <x:c r="G34" s="27" t="str">
        <x:v>12 小时</x:v>
      </x:c>
      <x:c r="H34" s="25" t="str">
        <x:f>IF(ISNUMBER(SEARCH("Legacy translation mismatch",$I34)),"Review: legacy mismatch",IF(G34="","Missing",IF(TRIM(G34)=TRIM(D34),"Review: same as English","Translated")))</x:f>
        <x:v>Review: legacy mismatch</x:v>
      </x:c>
      <x:c r="I34" s="27" t="str">
        <x:v>Legacy translation mismatch: this text targets an older quiz question set and must be retranslated.</x:v>
      </x:c>
    </x:row>
    <x:row r="35" ht="48" customHeight="1">
      <x:c r="A35" s="25" t="n">
        <x:v>4</x:v>
      </x:c>
      <x:c r="B35" s="25" t="str">
        <x:v>options[3]</x:v>
      </x:c>
      <x:c r="C35" s="25" t="str">
        <x:v>Answer option 4 | Working Hours, Attendance and Overtime</x:v>
      </x:c>
      <x:c r="D35" s="25" t="str">
        <x:v>D. Arrange a private shift swap and do not inform the Reporting Manager.</x:v>
      </x:c>
      <x:c r="E35" s="27" t="str">
        <x:v>24 jam</x:v>
      </x:c>
      <x:c r="F35" s="25" t="str">
        <x:f>IF(ISNUMBER(SEARCH("Legacy translation mismatch",$I35)),"Review: legacy mismatch",IF(E35="","Missing",IF(TRIM(E35)=TRIM(D35),"Review: same as English","Translated")))</x:f>
        <x:v>Review: legacy mismatch</x:v>
      </x:c>
      <x:c r="G35" s="27" t="str">
        <x:v>24 小时</x:v>
      </x:c>
      <x:c r="H35" s="25" t="str">
        <x:f>IF(ISNUMBER(SEARCH("Legacy translation mismatch",$I35)),"Review: legacy mismatch",IF(G35="","Missing",IF(TRIM(G35)=TRIM(D35),"Review: same as English","Translated")))</x:f>
        <x:v>Review: legacy mismatch</x:v>
      </x:c>
      <x:c r="I35" s="27" t="str">
        <x:v>Legacy translation mismatch: this text targets an older quiz question set and must be retranslated.</x:v>
      </x:c>
    </x:row>
    <x:row r="36" ht="62" customHeight="1">
      <x:c r="A36" s="25" t="n">
        <x:v>4</x:v>
      </x:c>
      <x:c r="B36" s="25" t="str">
        <x:v>explanation</x:v>
      </x:c>
      <x:c r="C36" s="25" t="str">
        <x:v>Answer explanation | Working Hours, Attendance and Overtime</x:v>
      </x:c>
      <x:c r="D36" s="25" t="str">
        <x:v>Overtime must be approved by the Reporting Manager. Replacement Leave also requires prior approval and must generally be used within one month from the date earned.</x:v>
      </x:c>
      <x:c r="E36" s="27" t="str">
        <x:v>Overtime must be approved by the Reporting Manager. Replacement Leave also requires prior approval and must generally be used within one month from the date earned.</x:v>
      </x:c>
      <x:c r="F36" s="25" t="str">
        <x:f>IF(ISNUMBER(SEARCH("Legacy translation mismatch",$I36)),"Review: legacy mismatch",IF(E36="","Missing",IF(TRIM(E36)=TRIM(D36),"Review: same as English","Translated")))</x:f>
        <x:v>Review: same as English</x:v>
      </x:c>
      <x:c r="G36" s="27" t="str">
        <x:v>Overtime must be approved by the Reporting Manager. Replacement Leave also requires prior approval and must generally be used within one month from the date earned.</x:v>
      </x:c>
      <x:c r="H36" s="25" t="str">
        <x:f>IF(ISNUMBER(SEARCH("Legacy translation mismatch",$I36)),"Review: legacy mismatch",IF(G36="","Missing",IF(TRIM(G36)=TRIM(D36),"Review: same as English","Translated")))</x:f>
        <x:v>Review: same as English</x:v>
      </x:c>
      <x:c r="I36" s="27" t="str"/>
    </x:row>
    <x:row r="37" ht="34" customHeight="1">
      <x:c r="A37" s="25" t="n">
        <x:v>4</x:v>
      </x:c>
      <x:c r="B37" s="25" t="str">
        <x:v>handbookSource</x:v>
      </x:c>
      <x:c r="C37" s="25" t="str">
        <x:v>Handbook source citation | Working Hours, Attendance and Overtime</x:v>
      </x:c>
      <x:c r="D37" s="25" t="str">
        <x:v>Part 4, Overtime and Replacement Leave Policies (PDF pp. 21-22)</x:v>
      </x:c>
      <x:c r="E37" s="27" t="str">
        <x:v>Part 4, Overtime and Replacement Leave Policies (PDF pp. 21-22)</x:v>
      </x:c>
      <x:c r="F37" s="25" t="str">
        <x:f>IF(ISNUMBER(SEARCH("Legacy translation mismatch",$I37)),"Review: legacy mismatch",IF(E37="","Missing",IF(TRIM(E37)=TRIM(D37),"Review: same as English","Translated")))</x:f>
        <x:v>Review: same as English</x:v>
      </x:c>
      <x:c r="G37" s="27" t="str">
        <x:v>Part 4, Overtime and Replacement Leave Policies (PDF pp. 21-22)</x:v>
      </x:c>
      <x:c r="H37" s="25" t="str">
        <x:f>IF(ISNUMBER(SEARCH("Legacy translation mismatch",$I37)),"Review: legacy mismatch",IF(G37="","Missing",IF(TRIM(G37)=TRIM(D37),"Review: same as English","Translated")))</x:f>
        <x:v>Review: same as English</x:v>
      </x:c>
      <x:c r="I37" s="27" t="str"/>
    </x:row>
    <x:row r="38" ht="48" customHeight="1">
      <x:c r="A38" s="25" t="n">
        <x:v>5</x:v>
      </x:c>
      <x:c r="B38" s="25" t="str">
        <x:v>question</x:v>
      </x:c>
      <x:c r="C38" s="25" t="str">
        <x:v>Question text | Leave Administration</x:v>
      </x:c>
      <x:c r="D38" s="25" t="str">
        <x:v>You want to take two days of planned Annual Leave. What is the normal minimum application timing?</x:v>
      </x:c>
      <x:c r="E38" s="27" t="str">
        <x:v>Waktu teras manakah yang wajib untuk semua pekerja hibrid pada hari bekerja?</x:v>
      </x:c>
      <x:c r="F38" s="25" t="str">
        <x:f>IF(ISNUMBER(SEARCH("Legacy translation mismatch",$I38)),"Review: legacy mismatch",IF(E38="","Missing",IF(TRIM(E38)=TRIM(D38),"Review: same as English","Translated")))</x:f>
        <x:v>Review: legacy mismatch</x:v>
      </x:c>
      <x:c r="G38" s="27" t="str">
        <x:v>混合办公模式下，工作日必须在岗的核心工作时间段是？</x:v>
      </x:c>
      <x:c r="H38" s="25" t="str">
        <x:f>IF(ISNUMBER(SEARCH("Legacy translation mismatch",$I38)),"Review: legacy mismatch",IF(G38="","Missing",IF(TRIM(G38)=TRIM(D38),"Review: same as English","Translated")))</x:f>
        <x:v>Review: legacy mismatch</x:v>
      </x:c>
      <x:c r="I38" s="27" t="str">
        <x:v>Legacy translation mismatch: this text targets an older quiz question set and must be retranslated.</x:v>
      </x:c>
    </x:row>
    <x:row r="39" ht="20" customHeight="1">
      <x:c r="A39" s="25" t="n">
        <x:v>5</x:v>
      </x:c>
      <x:c r="B39" s="25" t="str">
        <x:v>category</x:v>
      </x:c>
      <x:c r="C39" s="25" t="str">
        <x:v>Category label | Leave Administration</x:v>
      </x:c>
      <x:c r="D39" s="25" t="str">
        <x:v>Leave Administration</x:v>
      </x:c>
      <x:c r="E39" s="27" t="str">
        <x:v>Leave Administration</x:v>
      </x:c>
      <x:c r="F39" s="25" t="str">
        <x:f>IF(ISNUMBER(SEARCH("Legacy translation mismatch",$I39)),"Review: legacy mismatch",IF(E39="","Missing",IF(TRIM(E39)=TRIM(D39),"Review: same as English","Translated")))</x:f>
        <x:v>Review: same as English</x:v>
      </x:c>
      <x:c r="G39" s="27" t="str">
        <x:v>Leave Administration</x:v>
      </x:c>
      <x:c r="H39" s="25" t="str">
        <x:f>IF(ISNUMBER(SEARCH("Legacy translation mismatch",$I39)),"Review: legacy mismatch",IF(G39="","Missing",IF(TRIM(G39)=TRIM(D39),"Review: same as English","Translated")))</x:f>
        <x:v>Review: same as English</x:v>
      </x:c>
      <x:c r="I39" s="27" t="str"/>
    </x:row>
    <x:row r="40" ht="48" customHeight="1">
      <x:c r="A40" s="25" t="n">
        <x:v>5</x:v>
      </x:c>
      <x:c r="B40" s="25" t="str">
        <x:v>options[0]</x:v>
      </x:c>
      <x:c r="C40" s="25" t="str">
        <x:v>Answer option 1 | Leave Administration</x:v>
      </x:c>
      <x:c r="D40" s="25" t="str">
        <x:v>A. At least one week in advance.</x:v>
      </x:c>
      <x:c r="E40" s="27" t="str">
        <x:v>8 AM - 12 PM</x:v>
      </x:c>
      <x:c r="F40" s="25" t="str">
        <x:f>IF(ISNUMBER(SEARCH("Legacy translation mismatch",$I40)),"Review: legacy mismatch",IF(E40="","Missing",IF(TRIM(E40)=TRIM(D40),"Review: same as English","Translated")))</x:f>
        <x:v>Review: legacy mismatch</x:v>
      </x:c>
      <x:c r="G40" s="27" t="str">
        <x:v>上午 8 点 - 中午 12 点</x:v>
      </x:c>
      <x:c r="H40" s="25" t="str">
        <x:f>IF(ISNUMBER(SEARCH("Legacy translation mismatch",$I40)),"Review: legacy mismatch",IF(G40="","Missing",IF(TRIM(G40)=TRIM(D40),"Review: same as English","Translated")))</x:f>
        <x:v>Review: legacy mismatch</x:v>
      </x:c>
      <x:c r="I40" s="27" t="str">
        <x:v>Legacy translation mismatch: this text targets an older quiz question set and must be retranslated.</x:v>
      </x:c>
    </x:row>
    <x:row r="41" ht="48" customHeight="1">
      <x:c r="A41" s="25" t="n">
        <x:v>5</x:v>
      </x:c>
      <x:c r="B41" s="25" t="str">
        <x:v>options[1]</x:v>
      </x:c>
      <x:c r="C41" s="25" t="str">
        <x:v>Answer option 2 | Leave Administration</x:v>
      </x:c>
      <x:c r="D41" s="25" t="str">
        <x:v>B. At least three working days in advance.</x:v>
      </x:c>
      <x:c r="E41" s="27" t="str">
        <x:v>10 AM - 4 PM MYT</x:v>
      </x:c>
      <x:c r="F41" s="25" t="str">
        <x:f>IF(ISNUMBER(SEARCH("Legacy translation mismatch",$I41)),"Review: legacy mismatch",IF(E41="","Missing",IF(TRIM(E41)=TRIM(D41),"Review: same as English","Translated")))</x:f>
        <x:v>Review: legacy mismatch</x:v>
      </x:c>
      <x:c r="G41" s="27" t="str">
        <x:v>上午 10 点 - 下午 4 点 (MYT)</x:v>
      </x:c>
      <x:c r="H41" s="25" t="str">
        <x:f>IF(ISNUMBER(SEARCH("Legacy translation mismatch",$I41)),"Review: legacy mismatch",IF(G41="","Missing",IF(TRIM(G41)=TRIM(D41),"Review: same as English","Translated")))</x:f>
        <x:v>Review: legacy mismatch</x:v>
      </x:c>
      <x:c r="I41" s="27" t="str">
        <x:v>Legacy translation mismatch: this text targets an older quiz question set and must be retranslated.</x:v>
      </x:c>
    </x:row>
    <x:row r="42" ht="48" customHeight="1">
      <x:c r="A42" s="25" t="n">
        <x:v>5</x:v>
      </x:c>
      <x:c r="B42" s="25" t="str">
        <x:v>options[2]</x:v>
      </x:c>
      <x:c r="C42" s="25" t="str">
        <x:v>Answer option 3 | Leave Administration</x:v>
      </x:c>
      <x:c r="D42" s="25" t="str">
        <x:v>C. One month in advance for every Annual Leave request.</x:v>
      </x:c>
      <x:c r="E42" s="27" t="str">
        <x:v>1 PM - 8 PM</x:v>
      </x:c>
      <x:c r="F42" s="25" t="str">
        <x:f>IF(ISNUMBER(SEARCH("Legacy translation mismatch",$I42)),"Review: legacy mismatch",IF(E42="","Missing",IF(TRIM(E42)=TRIM(D42),"Review: same as English","Translated")))</x:f>
        <x:v>Review: legacy mismatch</x:v>
      </x:c>
      <x:c r="G42" s="27" t="str">
        <x:v>下午 1 点 - 晚上 8 点</x:v>
      </x:c>
      <x:c r="H42" s="25" t="str">
        <x:f>IF(ISNUMBER(SEARCH("Legacy translation mismatch",$I42)),"Review: legacy mismatch",IF(G42="","Missing",IF(TRIM(G42)=TRIM(D42),"Review: same as English","Translated")))</x:f>
        <x:v>Review: legacy mismatch</x:v>
      </x:c>
      <x:c r="I42" s="27" t="str">
        <x:v>Legacy translation mismatch: this text targets an older quiz question set and must be retranslated.</x:v>
      </x:c>
    </x:row>
    <x:row r="43" ht="48" customHeight="1">
      <x:c r="A43" s="25" t="n">
        <x:v>5</x:v>
      </x:c>
      <x:c r="B43" s="25" t="str">
        <x:v>options[3]</x:v>
      </x:c>
      <x:c r="C43" s="25" t="str">
        <x:v>Answer option 4 | Leave Administration</x:v>
      </x:c>
      <x:c r="D43" s="25" t="str">
        <x:v>D. On the first day of leave, provided a handover is completed.</x:v>
      </x:c>
      <x:c r="E43" s="27" t="str">
        <x:v>24/7 panggil balik</x:v>
      </x:c>
      <x:c r="F43" s="25" t="str">
        <x:f>IF(ISNUMBER(SEARCH("Legacy translation mismatch",$I43)),"Review: legacy mismatch",IF(E43="","Missing",IF(TRIM(E43)=TRIM(D43),"Review: same as English","Translated")))</x:f>
        <x:v>Review: legacy mismatch</x:v>
      </x:c>
      <x:c r="G43" s="27" t="str">
        <x:v>24小时随时待命</x:v>
      </x:c>
      <x:c r="H43" s="25" t="str">
        <x:f>IF(ISNUMBER(SEARCH("Legacy translation mismatch",$I43)),"Review: legacy mismatch",IF(G43="","Missing",IF(TRIM(G43)=TRIM(D43),"Review: same as English","Translated")))</x:f>
        <x:v>Review: legacy mismatch</x:v>
      </x:c>
      <x:c r="I43" s="27" t="str">
        <x:v>Legacy translation mismatch: this text targets an older quiz question set and must be retranslated.</x:v>
      </x:c>
    </x:row>
    <x:row r="44" ht="62" customHeight="1">
      <x:c r="A44" s="25" t="n">
        <x:v>5</x:v>
      </x:c>
      <x:c r="B44" s="25" t="str">
        <x:v>explanation</x:v>
      </x:c>
      <x:c r="C44" s="25" t="str">
        <x:v>Answer explanation | Leave Administration</x:v>
      </x:c>
      <x:c r="D44" s="25" t="str">
        <x:v>The general Annual Leave rule requires application at least one week in advance. The more specific longer-leave procedure applies to requests of three days or more.</x:v>
      </x:c>
      <x:c r="E44" s="27" t="str">
        <x:v>The general Annual Leave rule requires application at least one week in advance. The more specific longer-leave procedure applies to requests of three days or more.</x:v>
      </x:c>
      <x:c r="F44" s="25" t="str">
        <x:f>IF(ISNUMBER(SEARCH("Legacy translation mismatch",$I44)),"Review: legacy mismatch",IF(E44="","Missing",IF(TRIM(E44)=TRIM(D44),"Review: same as English","Translated")))</x:f>
        <x:v>Review: same as English</x:v>
      </x:c>
      <x:c r="G44" s="27" t="str">
        <x:v>The general Annual Leave rule requires application at least one week in advance. The more specific longer-leave procedure applies to requests of three days or more.</x:v>
      </x:c>
      <x:c r="H44" s="25" t="str">
        <x:f>IF(ISNUMBER(SEARCH("Legacy translation mismatch",$I44)),"Review: legacy mismatch",IF(G44="","Missing",IF(TRIM(G44)=TRIM(D44),"Review: same as English","Translated")))</x:f>
        <x:v>Review: same as English</x:v>
      </x:c>
      <x:c r="I44" s="27" t="str"/>
    </x:row>
    <x:row r="45" ht="34" customHeight="1">
      <x:c r="A45" s="25" t="n">
        <x:v>5</x:v>
      </x:c>
      <x:c r="B45" s="25" t="str">
        <x:v>handbookSource</x:v>
      </x:c>
      <x:c r="C45" s="25" t="str">
        <x:v>Handbook source citation | Leave Administration</x:v>
      </x:c>
      <x:c r="D45" s="25" t="str">
        <x:v>Part 5, Annual Leave Policy (PDF pp. 24-25)</x:v>
      </x:c>
      <x:c r="E45" s="27" t="str">
        <x:v>Part 5, Annual Leave Policy (PDF pp. 24-25)</x:v>
      </x:c>
      <x:c r="F45" s="25" t="str">
        <x:f>IF(ISNUMBER(SEARCH("Legacy translation mismatch",$I45)),"Review: legacy mismatch",IF(E45="","Missing",IF(TRIM(E45)=TRIM(D45),"Review: same as English","Translated")))</x:f>
        <x:v>Review: same as English</x:v>
      </x:c>
      <x:c r="G45" s="27" t="str">
        <x:v>Part 5, Annual Leave Policy (PDF pp. 24-25)</x:v>
      </x:c>
      <x:c r="H45" s="25" t="str">
        <x:f>IF(ISNUMBER(SEARCH("Legacy translation mismatch",$I45)),"Review: legacy mismatch",IF(G45="","Missing",IF(TRIM(G45)=TRIM(D45),"Review: same as English","Translated")))</x:f>
        <x:v>Review: same as English</x:v>
      </x:c>
      <x:c r="I45" s="27" t="str"/>
    </x:row>
    <x:row r="46" ht="48" customHeight="1">
      <x:c r="A46" s="25" t="n">
        <x:v>6</x:v>
      </x:c>
      <x:c r="B46" s="25" t="str">
        <x:v>question</x:v>
      </x:c>
      <x:c r="C46" s="25" t="str">
        <x:v>Question text | Leave Administration</x:v>
      </x:c>
      <x:c r="D46" s="25" t="str">
        <x:v>Which sequence correctly follows the Sick Leave reporting procedure?</x:v>
      </x:c>
      <x:c r="E46" s="27" t="str">
        <x:v>Jabatan manakah yang perlu dimaklumkan dengan serta-merta jika timbul konflik kepentingan?</x:v>
      </x:c>
      <x:c r="F46" s="25" t="str">
        <x:f>IF(ISNUMBER(SEARCH("Legacy translation mismatch",$I46)),"Review: legacy mismatch",IF(E46="","Missing",IF(TRIM(E46)=TRIM(D46),"Review: same as English","Translated")))</x:f>
        <x:v>Review: legacy mismatch</x:v>
      </x:c>
      <x:c r="G46" s="27" t="str">
        <x:v>如果发生潜在利益冲突，应立即通知哪个部门？</x:v>
      </x:c>
      <x:c r="H46" s="25" t="str">
        <x:f>IF(ISNUMBER(SEARCH("Legacy translation mismatch",$I46)),"Review: legacy mismatch",IF(G46="","Missing",IF(TRIM(G46)=TRIM(D46),"Review: same as English","Translated")))</x:f>
        <x:v>Review: legacy mismatch</x:v>
      </x:c>
      <x:c r="I46" s="27" t="str">
        <x:v>Legacy translation mismatch: this text targets an older quiz question set and must be retranslated.</x:v>
      </x:c>
    </x:row>
    <x:row r="47" ht="20" customHeight="1">
      <x:c r="A47" s="25" t="n">
        <x:v>6</x:v>
      </x:c>
      <x:c r="B47" s="25" t="str">
        <x:v>category</x:v>
      </x:c>
      <x:c r="C47" s="25" t="str">
        <x:v>Category label | Leave Administration</x:v>
      </x:c>
      <x:c r="D47" s="25" t="str">
        <x:v>Leave Administration</x:v>
      </x:c>
      <x:c r="E47" s="27" t="str">
        <x:v>Leave Administration</x:v>
      </x:c>
      <x:c r="F47" s="25" t="str">
        <x:f>IF(ISNUMBER(SEARCH("Legacy translation mismatch",$I47)),"Review: legacy mismatch",IF(E47="","Missing",IF(TRIM(E47)=TRIM(D47),"Review: same as English","Translated")))</x:f>
        <x:v>Review: same as English</x:v>
      </x:c>
      <x:c r="G47" s="27" t="str">
        <x:v>Leave Administration</x:v>
      </x:c>
      <x:c r="H47" s="25" t="str">
        <x:f>IF(ISNUMBER(SEARCH("Legacy translation mismatch",$I47)),"Review: legacy mismatch",IF(G47="","Missing",IF(TRIM(G47)=TRIM(D47),"Review: same as English","Translated")))</x:f>
        <x:v>Review: same as English</x:v>
      </x:c>
      <x:c r="I47" s="27" t="str"/>
    </x:row>
    <x:row r="48" ht="76" customHeight="1">
      <x:c r="A48" s="25" t="n">
        <x:v>6</x:v>
      </x:c>
      <x:c r="B48" s="25" t="str">
        <x:v>options[0]</x:v>
      </x:c>
      <x:c r="C48" s="25" t="str">
        <x:v>Answer option 1 | Leave Administration</x:v>
      </x:c>
      <x:c r="D48" s="25" t="str">
        <x:v>A. Inform Supervisor at least 1 hour before work -&gt; Supervisor informs HR Group -&gt; obtain MC -&gt; upload MC in HERD within 48 hours -&gt; submit original on return -&gt; HR updates records.</x:v>
      </x:c>
      <x:c r="E48" s="27" t="str">
        <x:v>Pemasaran</x:v>
      </x:c>
      <x:c r="F48" s="25" t="str">
        <x:f>IF(ISNUMBER(SEARCH("Legacy translation mismatch",$I48)),"Review: legacy mismatch",IF(E48="","Missing",IF(TRIM(E48)=TRIM(D48),"Review: same as English","Translated")))</x:f>
        <x:v>Review: legacy mismatch</x:v>
      </x:c>
      <x:c r="G48" s="27" t="str">
        <x:v>市场部</x:v>
      </x:c>
      <x:c r="H48" s="25" t="str">
        <x:f>IF(ISNUMBER(SEARCH("Legacy translation mismatch",$I48)),"Review: legacy mismatch",IF(G48="","Missing",IF(TRIM(G48)=TRIM(D48),"Review: same as English","Translated")))</x:f>
        <x:v>Review: legacy mismatch</x:v>
      </x:c>
      <x:c r="I48" s="27" t="str">
        <x:v>Legacy translation mismatch: this text targets an older quiz question set and must be retranslated.</x:v>
      </x:c>
    </x:row>
    <x:row r="49" ht="48" customHeight="1">
      <x:c r="A49" s="25" t="n">
        <x:v>6</x:v>
      </x:c>
      <x:c r="B49" s="25" t="str">
        <x:v>options[1]</x:v>
      </x:c>
      <x:c r="C49" s="25" t="str">
        <x:v>Answer option 2 | Leave Administration</x:v>
      </x:c>
      <x:c r="D49" s="25" t="str">
        <x:v>B. Obtain MC -&gt; return to work -&gt; inform Supervisor -&gt; upload MC within 7 days -&gt; HR updates records.</x:v>
      </x:c>
      <x:c r="E49" s="27" t="str">
        <x:v>Penyelia Langsung atau Jabatan HR</x:v>
      </x:c>
      <x:c r="F49" s="25" t="str">
        <x:f>IF(ISNUMBER(SEARCH("Legacy translation mismatch",$I49)),"Review: legacy mismatch",IF(E49="","Missing",IF(TRIM(E49)=TRIM(D49),"Review: same as English","Translated")))</x:f>
        <x:v>Review: legacy mismatch</x:v>
      </x:c>
      <x:c r="G49" s="27" t="str">
        <x:v>直接主管或 HR 部门</x:v>
      </x:c>
      <x:c r="H49" s="25" t="str">
        <x:f>IF(ISNUMBER(SEARCH("Legacy translation mismatch",$I49)),"Review: legacy mismatch",IF(G49="","Missing",IF(TRIM(G49)=TRIM(D49),"Review: same as English","Translated")))</x:f>
        <x:v>Review: legacy mismatch</x:v>
      </x:c>
      <x:c r="I49" s="27" t="str">
        <x:v>Legacy translation mismatch: this text targets an older quiz question set and must be retranslated.</x:v>
      </x:c>
    </x:row>
    <x:row r="50" ht="48" customHeight="1">
      <x:c r="A50" s="25" t="n">
        <x:v>6</x:v>
      </x:c>
      <x:c r="B50" s="25" t="str">
        <x:v>options[2]</x:v>
      </x:c>
      <x:c r="C50" s="25" t="str">
        <x:v>Answer option 3 | Leave Administration</x:v>
      </x:c>
      <x:c r="D50" s="25" t="str">
        <x:v>C. Inform HR directly after work starts -&gt; ask Supervisor for approval -&gt; upload MC on return -&gt; keep the original.</x:v>
      </x:c>
      <x:c r="E50" s="27" t="str">
        <x:v>Meja Perkhidmatan IT</x:v>
      </x:c>
      <x:c r="F50" s="25" t="str">
        <x:f>IF(ISNUMBER(SEARCH("Legacy translation mismatch",$I50)),"Review: legacy mismatch",IF(E50="","Missing",IF(TRIM(E50)=TRIM(D50),"Review: same as English","Translated")))</x:f>
        <x:v>Review: legacy mismatch</x:v>
      </x:c>
      <x:c r="G50" s="27" t="str">
        <x:v>IT 服务台</x:v>
      </x:c>
      <x:c r="H50" s="25" t="str">
        <x:f>IF(ISNUMBER(SEARCH("Legacy translation mismatch",$I50)),"Review: legacy mismatch",IF(G50="","Missing",IF(TRIM(G50)=TRIM(D50),"Review: same as English","Translated")))</x:f>
        <x:v>Review: legacy mismatch</x:v>
      </x:c>
      <x:c r="I50" s="27" t="str">
        <x:v>Legacy translation mismatch: this text targets an older quiz question set and must be retranslated.</x:v>
      </x:c>
    </x:row>
    <x:row r="51" ht="48" customHeight="1">
      <x:c r="A51" s="25" t="n">
        <x:v>6</x:v>
      </x:c>
      <x:c r="B51" s="25" t="str">
        <x:v>options[3]</x:v>
      </x:c>
      <x:c r="C51" s="25" t="str">
        <x:v>Answer option 4 | Leave Administration</x:v>
      </x:c>
      <x:c r="D51" s="25" t="str">
        <x:v>D. Upload the MC first -&gt; inform the Supervisor within 48 hours -&gt; send the original only if HR requests it.</x:v>
      </x:c>
      <x:c r="E51" s="27" t="str">
        <x:v>Fasiliti</x:v>
      </x:c>
      <x:c r="F51" s="25" t="str">
        <x:f>IF(ISNUMBER(SEARCH("Legacy translation mismatch",$I51)),"Review: legacy mismatch",IF(E51="","Missing",IF(TRIM(E51)=TRIM(D51),"Review: same as English","Translated")))</x:f>
        <x:v>Review: legacy mismatch</x:v>
      </x:c>
      <x:c r="G51" s="27" t="str">
        <x:v>物业设施部</x:v>
      </x:c>
      <x:c r="H51" s="25" t="str">
        <x:f>IF(ISNUMBER(SEARCH("Legacy translation mismatch",$I51)),"Review: legacy mismatch",IF(G51="","Missing",IF(TRIM(G51)=TRIM(D51),"Review: same as English","Translated")))</x:f>
        <x:v>Review: legacy mismatch</x:v>
      </x:c>
      <x:c r="I51" s="27" t="str">
        <x:v>Legacy translation mismatch: this text targets an older quiz question set and must be retranslated.</x:v>
      </x:c>
    </x:row>
    <x:row r="52" ht="62" customHeight="1">
      <x:c r="A52" s="25" t="n">
        <x:v>6</x:v>
      </x:c>
      <x:c r="B52" s="25" t="str">
        <x:v>explanation</x:v>
      </x:c>
      <x:c r="C52" s="25" t="str">
        <x:v>Answer explanation | Leave Administration</x:v>
      </x:c>
      <x:c r="D52" s="25" t="str">
        <x:v>The handbook specifies this six-step sequence, beginning with advance notice to the Supervisor and ending with HR updating attendance and leave records.</x:v>
      </x:c>
      <x:c r="E52" s="27" t="str">
        <x:v>The handbook specifies this six-step sequence, beginning with advance notice to the Supervisor and ending with HR updating attendance and leave records.</x:v>
      </x:c>
      <x:c r="F52" s="25" t="str">
        <x:f>IF(ISNUMBER(SEARCH("Legacy translation mismatch",$I52)),"Review: legacy mismatch",IF(E52="","Missing",IF(TRIM(E52)=TRIM(D52),"Review: same as English","Translated")))</x:f>
        <x:v>Review: same as English</x:v>
      </x:c>
      <x:c r="G52" s="27" t="str">
        <x:v>The handbook specifies this six-step sequence, beginning with advance notice to the Supervisor and ending with HR updating attendance and leave records.</x:v>
      </x:c>
      <x:c r="H52" s="25" t="str">
        <x:f>IF(ISNUMBER(SEARCH("Legacy translation mismatch",$I52)),"Review: legacy mismatch",IF(G52="","Missing",IF(TRIM(G52)=TRIM(D52),"Review: same as English","Translated")))</x:f>
        <x:v>Review: same as English</x:v>
      </x:c>
      <x:c r="I52" s="27" t="str"/>
    </x:row>
    <x:row r="53" ht="34" customHeight="1">
      <x:c r="A53" s="25" t="n">
        <x:v>6</x:v>
      </x:c>
      <x:c r="B53" s="25" t="str">
        <x:v>handbookSource</x:v>
      </x:c>
      <x:c r="C53" s="25" t="str">
        <x:v>Handbook source citation | Leave Administration</x:v>
      </x:c>
      <x:c r="D53" s="25" t="str">
        <x:v>Part 5, Sick Leave Policy and Leave Application Procedure (PDF pp. 25 and 28-29)</x:v>
      </x:c>
      <x:c r="E53" s="27" t="str">
        <x:v>Part 5, Sick Leave Policy and Leave Application Procedure (PDF pp. 25 and 28-29)</x:v>
      </x:c>
      <x:c r="F53" s="25" t="str">
        <x:f>IF(ISNUMBER(SEARCH("Legacy translation mismatch",$I53)),"Review: legacy mismatch",IF(E53="","Missing",IF(TRIM(E53)=TRIM(D53),"Review: same as English","Translated")))</x:f>
        <x:v>Review: same as English</x:v>
      </x:c>
      <x:c r="G53" s="27" t="str">
        <x:v>Part 5, Sick Leave Policy and Leave Application Procedure (PDF pp. 25 and 28-29)</x:v>
      </x:c>
      <x:c r="H53" s="25" t="str">
        <x:f>IF(ISNUMBER(SEARCH("Legacy translation mismatch",$I53)),"Review: legacy mismatch",IF(G53="","Missing",IF(TRIM(G53)=TRIM(D53),"Review: same as English","Translated")))</x:f>
        <x:v>Review: same as English</x:v>
      </x:c>
      <x:c r="I53" s="27" t="str"/>
    </x:row>
    <x:row r="54" ht="48" customHeight="1">
      <x:c r="A54" s="25" t="n">
        <x:v>7</x:v>
      </x:c>
      <x:c r="B54" s="25" t="str">
        <x:v>question</x:v>
      </x:c>
      <x:c r="C54" s="25" t="str">
        <x:v>Question text | Leave Administration</x:v>
      </x:c>
      <x:c r="D54" s="25" t="str">
        <x:v>You received an MC for one day of Sick Leave. By when must a copy be submitted through HERD?</x:v>
      </x:c>
      <x:c r="E54" s="27" t="str">
        <x:v>Berapakah elaun pembelajaran &amp; kesejahteraan profesional tahunan untuk setiap pekerja?</x:v>
      </x:c>
      <x:c r="F54" s="25" t="str">
        <x:f>IF(ISNUMBER(SEARCH("Legacy translation mismatch",$I54)),"Review: legacy mismatch",IF(E54="","Missing",IF(TRIM(E54)=TRIM(D54),"Review: same as English","Translated")))</x:f>
        <x:v>Review: legacy mismatch</x:v>
      </x:c>
      <x:c r="G54" s="27" t="str">
        <x:v>每名员工每年的专业学习与健康发展津贴是多少？</x:v>
      </x:c>
      <x:c r="H54" s="25" t="str">
        <x:f>IF(ISNUMBER(SEARCH("Legacy translation mismatch",$I54)),"Review: legacy mismatch",IF(G54="","Missing",IF(TRIM(G54)=TRIM(D54),"Review: same as English","Translated")))</x:f>
        <x:v>Review: legacy mismatch</x:v>
      </x:c>
      <x:c r="I54" s="27" t="str">
        <x:v>Legacy translation mismatch: this text targets an older quiz question set and must be retranslated.</x:v>
      </x:c>
    </x:row>
    <x:row r="55" ht="20" customHeight="1">
      <x:c r="A55" s="25" t="n">
        <x:v>7</x:v>
      </x:c>
      <x:c r="B55" s="25" t="str">
        <x:v>category</x:v>
      </x:c>
      <x:c r="C55" s="25" t="str">
        <x:v>Category label | Leave Administration</x:v>
      </x:c>
      <x:c r="D55" s="25" t="str">
        <x:v>Leave Administration</x:v>
      </x:c>
      <x:c r="E55" s="27" t="str">
        <x:v>Leave Administration</x:v>
      </x:c>
      <x:c r="F55" s="25" t="str">
        <x:f>IF(ISNUMBER(SEARCH("Legacy translation mismatch",$I55)),"Review: legacy mismatch",IF(E55="","Missing",IF(TRIM(E55)=TRIM(D55),"Review: same as English","Translated")))</x:f>
        <x:v>Review: same as English</x:v>
      </x:c>
      <x:c r="G55" s="27" t="str">
        <x:v>Leave Administration</x:v>
      </x:c>
      <x:c r="H55" s="25" t="str">
        <x:f>IF(ISNUMBER(SEARCH("Legacy translation mismatch",$I55)),"Review: legacy mismatch",IF(G55="","Missing",IF(TRIM(G55)=TRIM(D55),"Review: same as English","Translated")))</x:f>
        <x:v>Review: same as English</x:v>
      </x:c>
      <x:c r="I55" s="27" t="str"/>
    </x:row>
    <x:row r="56" ht="48" customHeight="1">
      <x:c r="A56" s="25" t="n">
        <x:v>7</x:v>
      </x:c>
      <x:c r="B56" s="25" t="str">
        <x:v>options[0]</x:v>
      </x:c>
      <x:c r="C56" s="25" t="str">
        <x:v>Answer option 1 | Leave Administration</x:v>
      </x:c>
      <x:c r="D56" s="25" t="str">
        <x:v>A. Within 24 hours.</x:v>
      </x:c>
      <x:c r="E56" s="27" t="str">
        <x:v>RM500</x:v>
      </x:c>
      <x:c r="F56" s="25" t="str">
        <x:f>IF(ISNUMBER(SEARCH("Legacy translation mismatch",$I56)),"Review: legacy mismatch",IF(E56="","Missing",IF(TRIM(E56)=TRIM(D56),"Review: same as English","Translated")))</x:f>
        <x:v>Review: legacy mismatch</x:v>
      </x:c>
      <x:c r="G56" s="27" t="str">
        <x:v>RM500</x:v>
      </x:c>
      <x:c r="H56" s="25" t="str">
        <x:f>IF(ISNUMBER(SEARCH("Legacy translation mismatch",$I56)),"Review: legacy mismatch",IF(G56="","Missing",IF(TRIM(G56)=TRIM(D56),"Review: same as English","Translated")))</x:f>
        <x:v>Review: legacy mismatch</x:v>
      </x:c>
      <x:c r="I56" s="27" t="str">
        <x:v>Legacy translation mismatch: this text targets an older quiz question set and must be retranslated.</x:v>
      </x:c>
    </x:row>
    <x:row r="57" ht="48" customHeight="1">
      <x:c r="A57" s="25" t="n">
        <x:v>7</x:v>
      </x:c>
      <x:c r="B57" s="25" t="str">
        <x:v>options[1]</x:v>
      </x:c>
      <x:c r="C57" s="25" t="str">
        <x:v>Answer option 2 | Leave Administration</x:v>
      </x:c>
      <x:c r="D57" s="25" t="str">
        <x:v>B. Within 48 hours.</x:v>
      </x:c>
      <x:c r="E57" s="27" t="str">
        <x:v>RM1,000</x:v>
      </x:c>
      <x:c r="F57" s="25" t="str">
        <x:f>IF(ISNUMBER(SEARCH("Legacy translation mismatch",$I57)),"Review: legacy mismatch",IF(E57="","Missing",IF(TRIM(E57)=TRIM(D57),"Review: same as English","Translated")))</x:f>
        <x:v>Review: legacy mismatch</x:v>
      </x:c>
      <x:c r="G57" s="27" t="str">
        <x:v>RM1,000</x:v>
      </x:c>
      <x:c r="H57" s="25" t="str">
        <x:f>IF(ISNUMBER(SEARCH("Legacy translation mismatch",$I57)),"Review: legacy mismatch",IF(G57="","Missing",IF(TRIM(G57)=TRIM(D57),"Review: same as English","Translated")))</x:f>
        <x:v>Review: legacy mismatch</x:v>
      </x:c>
      <x:c r="I57" s="27" t="str">
        <x:v>Legacy translation mismatch: this text targets an older quiz question set and must be retranslated.</x:v>
      </x:c>
    </x:row>
    <x:row r="58" ht="48" customHeight="1">
      <x:c r="A58" s="25" t="n">
        <x:v>7</x:v>
      </x:c>
      <x:c r="B58" s="25" t="str">
        <x:v>options[2]</x:v>
      </x:c>
      <x:c r="C58" s="25" t="str">
        <x:v>Answer option 3 | Leave Administration</x:v>
      </x:c>
      <x:c r="D58" s="25" t="str">
        <x:v>C. Within three working days.</x:v>
      </x:c>
      <x:c r="E58" s="27" t="str">
        <x:v>RM3,000</x:v>
      </x:c>
      <x:c r="F58" s="25" t="str">
        <x:f>IF(ISNUMBER(SEARCH("Legacy translation mismatch",$I58)),"Review: legacy mismatch",IF(E58="","Missing",IF(TRIM(E58)=TRIM(D58),"Review: same as English","Translated")))</x:f>
        <x:v>Review: legacy mismatch</x:v>
      </x:c>
      <x:c r="G58" s="27" t="str">
        <x:v>RM3,000</x:v>
      </x:c>
      <x:c r="H58" s="25" t="str">
        <x:f>IF(ISNUMBER(SEARCH("Legacy translation mismatch",$I58)),"Review: legacy mismatch",IF(G58="","Missing",IF(TRIM(G58)=TRIM(D58),"Review: same as English","Translated")))</x:f>
        <x:v>Review: legacy mismatch</x:v>
      </x:c>
      <x:c r="I58" s="27" t="str">
        <x:v>Legacy translation mismatch: this text targets an older quiz question set and must be retranslated.</x:v>
      </x:c>
    </x:row>
    <x:row r="59" ht="48" customHeight="1">
      <x:c r="A59" s="25" t="n">
        <x:v>7</x:v>
      </x:c>
      <x:c r="B59" s="25" t="str">
        <x:v>options[3]</x:v>
      </x:c>
      <x:c r="C59" s="25" t="str">
        <x:v>Answer option 4 | Leave Administration</x:v>
      </x:c>
      <x:c r="D59" s="25" t="str">
        <x:v>D. Only when you return to work.</x:v>
      </x:c>
      <x:c r="E59" s="27" t="str">
        <x:v>RM5,000</x:v>
      </x:c>
      <x:c r="F59" s="25" t="str">
        <x:f>IF(ISNUMBER(SEARCH("Legacy translation mismatch",$I59)),"Review: legacy mismatch",IF(E59="","Missing",IF(TRIM(E59)=TRIM(D59),"Review: same as English","Translated")))</x:f>
        <x:v>Review: legacy mismatch</x:v>
      </x:c>
      <x:c r="G59" s="27" t="str">
        <x:v>RM5,000</x:v>
      </x:c>
      <x:c r="H59" s="25" t="str">
        <x:f>IF(ISNUMBER(SEARCH("Legacy translation mismatch",$I59)),"Review: legacy mismatch",IF(G59="","Missing",IF(TRIM(G59)=TRIM(D59),"Review: same as English","Translated")))</x:f>
        <x:v>Review: legacy mismatch</x:v>
      </x:c>
      <x:c r="I59" s="27" t="str">
        <x:v>Legacy translation mismatch: this text targets an older quiz question set and must be retranslated.</x:v>
      </x:c>
    </x:row>
    <x:row r="60" ht="62" customHeight="1">
      <x:c r="A60" s="25" t="n">
        <x:v>7</x:v>
      </x:c>
      <x:c r="B60" s="25" t="str">
        <x:v>explanation</x:v>
      </x:c>
      <x:c r="C60" s="25" t="str">
        <x:v>Answer explanation | Leave Administration</x:v>
      </x:c>
      <x:c r="D60" s="25" t="str">
        <x:v>A copy of the MC must be submitted through HERD within 48 hours, and the original must be provided to HR or the immediate superior upon return.</x:v>
      </x:c>
      <x:c r="E60" s="27" t="str">
        <x:v>A copy of the MC must be submitted through HERD within 48 hours, and the original must be provided to HR or the immediate superior upon return.</x:v>
      </x:c>
      <x:c r="F60" s="25" t="str">
        <x:f>IF(ISNUMBER(SEARCH("Legacy translation mismatch",$I60)),"Review: legacy mismatch",IF(E60="","Missing",IF(TRIM(E60)=TRIM(D60),"Review: same as English","Translated")))</x:f>
        <x:v>Review: same as English</x:v>
      </x:c>
      <x:c r="G60" s="27" t="str">
        <x:v>A copy of the MC must be submitted through HERD within 48 hours, and the original must be provided to HR or the immediate superior upon return.</x:v>
      </x:c>
      <x:c r="H60" s="25" t="str">
        <x:f>IF(ISNUMBER(SEARCH("Legacy translation mismatch",$I60)),"Review: legacy mismatch",IF(G60="","Missing",IF(TRIM(G60)=TRIM(D60),"Review: same as English","Translated")))</x:f>
        <x:v>Review: same as English</x:v>
      </x:c>
      <x:c r="I60" s="27" t="str"/>
    </x:row>
    <x:row r="61" ht="34" customHeight="1">
      <x:c r="A61" s="25" t="n">
        <x:v>7</x:v>
      </x:c>
      <x:c r="B61" s="25" t="str">
        <x:v>handbookSource</x:v>
      </x:c>
      <x:c r="C61" s="25" t="str">
        <x:v>Handbook source citation | Leave Administration</x:v>
      </x:c>
      <x:c r="D61" s="25" t="str">
        <x:v>Part 5, Sick Leave Policy (PDF p. 25)</x:v>
      </x:c>
      <x:c r="E61" s="27" t="str">
        <x:v>Part 5, Sick Leave Policy (PDF p. 25)</x:v>
      </x:c>
      <x:c r="F61" s="25" t="str">
        <x:f>IF(ISNUMBER(SEARCH("Legacy translation mismatch",$I61)),"Review: legacy mismatch",IF(E61="","Missing",IF(TRIM(E61)=TRIM(D61),"Review: same as English","Translated")))</x:f>
        <x:v>Review: same as English</x:v>
      </x:c>
      <x:c r="G61" s="27" t="str">
        <x:v>Part 5, Sick Leave Policy (PDF p. 25)</x:v>
      </x:c>
      <x:c r="H61" s="25" t="str">
        <x:f>IF(ISNUMBER(SEARCH("Legacy translation mismatch",$I61)),"Review: legacy mismatch",IF(G61="","Missing",IF(TRIM(G61)=TRIM(D61),"Review: same as English","Translated")))</x:f>
        <x:v>Review: same as English</x:v>
      </x:c>
      <x:c r="I61" s="27" t="str"/>
    </x:row>
    <x:row r="62" ht="48" customHeight="1">
      <x:c r="A62" s="25" t="n">
        <x:v>8</x:v>
      </x:c>
      <x:c r="B62" s="25" t="str">
        <x:v>question</x:v>
      </x:c>
      <x:c r="C62" s="25" t="str">
        <x:v>Question text | Leave Administration</x:v>
      </x:c>
      <x:c r="D62" s="25" t="str">
        <x:v>A serious family emergency prevents you from reporting to work. What is the correct first action?</x:v>
      </x:c>
      <x:c r="E62" s="27" t="str">
        <x:v>Bila resit perbelanjaan bulanan mesti dihantar untuk pemprosesan tuntutan?</x:v>
      </x:c>
      <x:c r="F62" s="25" t="str">
        <x:f>IF(ISNUMBER(SEARCH("Legacy translation mismatch",$I62)),"Review: legacy mismatch",IF(E62="","Missing",IF(TRIM(E62)=TRIM(D62),"Review: same as English","Translated")))</x:f>
        <x:v>Review: legacy mismatch</x:v>
      </x:c>
      <x:c r="G62" s="27" t="str">
        <x:v>每月费用报销凭证必须在何时前提交？</x:v>
      </x:c>
      <x:c r="H62" s="25" t="str">
        <x:f>IF(ISNUMBER(SEARCH("Legacy translation mismatch",$I62)),"Review: legacy mismatch",IF(G62="","Missing",IF(TRIM(G62)=TRIM(D62),"Review: same as English","Translated")))</x:f>
        <x:v>Review: legacy mismatch</x:v>
      </x:c>
      <x:c r="I62" s="27" t="str">
        <x:v>Legacy translation mismatch: this text targets an older quiz question set and must be retranslated.</x:v>
      </x:c>
    </x:row>
    <x:row r="63" ht="20" customHeight="1">
      <x:c r="A63" s="25" t="n">
        <x:v>8</x:v>
      </x:c>
      <x:c r="B63" s="25" t="str">
        <x:v>category</x:v>
      </x:c>
      <x:c r="C63" s="25" t="str">
        <x:v>Category label | Leave Administration</x:v>
      </x:c>
      <x:c r="D63" s="25" t="str">
        <x:v>Leave Administration</x:v>
      </x:c>
      <x:c r="E63" s="27" t="str">
        <x:v>Leave Administration</x:v>
      </x:c>
      <x:c r="F63" s="25" t="str">
        <x:f>IF(ISNUMBER(SEARCH("Legacy translation mismatch",$I63)),"Review: legacy mismatch",IF(E63="","Missing",IF(TRIM(E63)=TRIM(D63),"Review: same as English","Translated")))</x:f>
        <x:v>Review: same as English</x:v>
      </x:c>
      <x:c r="G63" s="27" t="str">
        <x:v>Leave Administration</x:v>
      </x:c>
      <x:c r="H63" s="25" t="str">
        <x:f>IF(ISNUMBER(SEARCH("Legacy translation mismatch",$I63)),"Review: legacy mismatch",IF(G63="","Missing",IF(TRIM(G63)=TRIM(D63),"Review: same as English","Translated")))</x:f>
        <x:v>Review: same as English</x:v>
      </x:c>
      <x:c r="I63" s="27" t="str"/>
    </x:row>
    <x:row r="64" ht="48" customHeight="1">
      <x:c r="A64" s="25" t="n">
        <x:v>8</x:v>
      </x:c>
      <x:c r="B64" s="25" t="str">
        <x:v>options[0]</x:v>
      </x:c>
      <x:c r="C64" s="25" t="str">
        <x:v>Answer option 1 | Leave Administration</x:v>
      </x:c>
      <x:c r="D64" s="25" t="str">
        <x:v>A. Inform your Supervisor immediately.</x:v>
      </x:c>
      <x:c r="E64" s="27" t="str">
        <x:v>1 hb setiap bulan</x:v>
      </x:c>
      <x:c r="F64" s="25" t="str">
        <x:f>IF(ISNUMBER(SEARCH("Legacy translation mismatch",$I64)),"Review: legacy mismatch",IF(E64="","Missing",IF(TRIM(E64)=TRIM(D64),"Review: same as English","Translated")))</x:f>
        <x:v>Review: legacy mismatch</x:v>
      </x:c>
      <x:c r="G64" s="27" t="str">
        <x:v>每月 1 日</x:v>
      </x:c>
      <x:c r="H64" s="25" t="str">
        <x:f>IF(ISNUMBER(SEARCH("Legacy translation mismatch",$I64)),"Review: legacy mismatch",IF(G64="","Missing",IF(TRIM(G64)=TRIM(D64),"Review: same as English","Translated")))</x:f>
        <x:v>Review: legacy mismatch</x:v>
      </x:c>
      <x:c r="I64" s="27" t="str">
        <x:v>Legacy translation mismatch: this text targets an older quiz question set and must be retranslated.</x:v>
      </x:c>
    </x:row>
    <x:row r="65" ht="48" customHeight="1">
      <x:c r="A65" s="25" t="n">
        <x:v>8</x:v>
      </x:c>
      <x:c r="B65" s="25" t="str">
        <x:v>options[1]</x:v>
      </x:c>
      <x:c r="C65" s="25" t="str">
        <x:v>Answer option 2 | Leave Administration</x:v>
      </x:c>
      <x:c r="D65" s="25" t="str">
        <x:v>B. Submit an Unpaid Leave form after returning.</x:v>
      </x:c>
      <x:c r="E65" s="27" t="str">
        <x:v>15 hb setiap bulan</x:v>
      </x:c>
      <x:c r="F65" s="25" t="str">
        <x:f>IF(ISNUMBER(SEARCH("Legacy translation mismatch",$I65)),"Review: legacy mismatch",IF(E65="","Missing",IF(TRIM(E65)=TRIM(D65),"Review: same as English","Translated")))</x:f>
        <x:v>Review: legacy mismatch</x:v>
      </x:c>
      <x:c r="G65" s="27" t="str">
        <x:v>每月 15 日</x:v>
      </x:c>
      <x:c r="H65" s="25" t="str">
        <x:f>IF(ISNUMBER(SEARCH("Legacy translation mismatch",$I65)),"Review: legacy mismatch",IF(G65="","Missing",IF(TRIM(G65)=TRIM(D65),"Review: same as English","Translated")))</x:f>
        <x:v>Review: legacy mismatch</x:v>
      </x:c>
      <x:c r="I65" s="27" t="str">
        <x:v>Legacy translation mismatch: this text targets an older quiz question set and must be retranslated.</x:v>
      </x:c>
    </x:row>
    <x:row r="66" ht="48" customHeight="1">
      <x:c r="A66" s="25" t="n">
        <x:v>8</x:v>
      </x:c>
      <x:c r="B66" s="25" t="str">
        <x:v>options[2]</x:v>
      </x:c>
      <x:c r="C66" s="25" t="str">
        <x:v>Answer option 3 | Leave Administration</x:v>
      </x:c>
      <x:c r="D66" s="25" t="str">
        <x:v>C. Ask a colleague to obtain approval on your behalf.</x:v>
      </x:c>
      <x:c r="E66" s="27" t="str">
        <x:v>25 hb setiap bulan</x:v>
      </x:c>
      <x:c r="F66" s="25" t="str">
        <x:f>IF(ISNUMBER(SEARCH("Legacy translation mismatch",$I66)),"Review: legacy mismatch",IF(E66="","Missing",IF(TRIM(E66)=TRIM(D66),"Review: same as English","Translated")))</x:f>
        <x:v>Review: legacy mismatch</x:v>
      </x:c>
      <x:c r="G66" s="27" t="str">
        <x:v>每月 25 日</x:v>
      </x:c>
      <x:c r="H66" s="25" t="str">
        <x:f>IF(ISNUMBER(SEARCH("Legacy translation mismatch",$I66)),"Review: legacy mismatch",IF(G66="","Missing",IF(TRIM(G66)=TRIM(D66),"Review: same as English","Translated")))</x:f>
        <x:v>Review: legacy mismatch</x:v>
      </x:c>
      <x:c r="I66" s="27" t="str">
        <x:v>Legacy translation mismatch: this text targets an older quiz question set and must be retranslated.</x:v>
      </x:c>
    </x:row>
    <x:row r="67" ht="48" customHeight="1">
      <x:c r="A67" s="25" t="n">
        <x:v>8</x:v>
      </x:c>
      <x:c r="B67" s="25" t="str">
        <x:v>options[3]</x:v>
      </x:c>
      <x:c r="C67" s="25" t="str">
        <x:v>Answer option 4 | Leave Administration</x:v>
      </x:c>
      <x:c r="D67" s="25" t="str">
        <x:v>D. Wait for Management to contact you.</x:v>
      </x:c>
      <x:c r="E67" s="27" t="str">
        <x:v>Akhir tahun</x:v>
      </x:c>
      <x:c r="F67" s="25" t="str">
        <x:f>IF(ISNUMBER(SEARCH("Legacy translation mismatch",$I67)),"Review: legacy mismatch",IF(E67="","Missing",IF(TRIM(E67)=TRIM(D67),"Review: same as English","Translated")))</x:f>
        <x:v>Review: legacy mismatch</x:v>
      </x:c>
      <x:c r="G67" s="27" t="str">
        <x:v>年底集中提交</x:v>
      </x:c>
      <x:c r="H67" s="25" t="str">
        <x:f>IF(ISNUMBER(SEARCH("Legacy translation mismatch",$I67)),"Review: legacy mismatch",IF(G67="","Missing",IF(TRIM(G67)=TRIM(D67),"Review: same as English","Translated")))</x:f>
        <x:v>Review: legacy mismatch</x:v>
      </x:c>
      <x:c r="I67" s="27" t="str">
        <x:v>Legacy translation mismatch: this text targets an older quiz question set and must be retranslated.</x:v>
      </x:c>
    </x:row>
    <x:row r="68" ht="62" customHeight="1">
      <x:c r="A68" s="25" t="n">
        <x:v>8</x:v>
      </x:c>
      <x:c r="B68" s="25" t="str">
        <x:v>explanation</x:v>
      </x:c>
      <x:c r="C68" s="25" t="str">
        <x:v>Answer explanation | Leave Administration</x:v>
      </x:c>
      <x:c r="D68" s="25" t="str">
        <x:v>For Emergency Leave, the employee must inform the Supervisor immediately. The Supervisor then informs the HR Group for acknowledgement.</x:v>
      </x:c>
      <x:c r="E68" s="27" t="str">
        <x:v>For Emergency Leave, the employee must inform the Supervisor immediately. The Supervisor then informs the HR Group for acknowledgement.</x:v>
      </x:c>
      <x:c r="F68" s="25" t="str">
        <x:f>IF(ISNUMBER(SEARCH("Legacy translation mismatch",$I68)),"Review: legacy mismatch",IF(E68="","Missing",IF(TRIM(E68)=TRIM(D68),"Review: same as English","Translated")))</x:f>
        <x:v>Review: same as English</x:v>
      </x:c>
      <x:c r="G68" s="27" t="str">
        <x:v>For Emergency Leave, the employee must inform the Supervisor immediately. The Supervisor then informs the HR Group for acknowledgement.</x:v>
      </x:c>
      <x:c r="H68" s="25" t="str">
        <x:f>IF(ISNUMBER(SEARCH("Legacy translation mismatch",$I68)),"Review: legacy mismatch",IF(G68="","Missing",IF(TRIM(G68)=TRIM(D68),"Review: same as English","Translated")))</x:f>
        <x:v>Review: same as English</x:v>
      </x:c>
      <x:c r="I68" s="27" t="str"/>
    </x:row>
    <x:row r="69" ht="34" customHeight="1">
      <x:c r="A69" s="25" t="n">
        <x:v>8</x:v>
      </x:c>
      <x:c r="B69" s="25" t="str">
        <x:v>handbookSource</x:v>
      </x:c>
      <x:c r="C69" s="25" t="str">
        <x:v>Handbook source citation | Leave Administration</x:v>
      </x:c>
      <x:c r="D69" s="25" t="str">
        <x:v>Part 5, Emergency Leave and Leave Application Procedure (PDF pp. 26 and 29)</x:v>
      </x:c>
      <x:c r="E69" s="27" t="str">
        <x:v>Part 5, Emergency Leave and Leave Application Procedure (PDF pp. 26 and 29)</x:v>
      </x:c>
      <x:c r="F69" s="25" t="str">
        <x:f>IF(ISNUMBER(SEARCH("Legacy translation mismatch",$I69)),"Review: legacy mismatch",IF(E69="","Missing",IF(TRIM(E69)=TRIM(D69),"Review: same as English","Translated")))</x:f>
        <x:v>Review: same as English</x:v>
      </x:c>
      <x:c r="G69" s="27" t="str">
        <x:v>Part 5, Emergency Leave and Leave Application Procedure (PDF pp. 26 and 29)</x:v>
      </x:c>
      <x:c r="H69" s="25" t="str">
        <x:f>IF(ISNUMBER(SEARCH("Legacy translation mismatch",$I69)),"Review: legacy mismatch",IF(G69="","Missing",IF(TRIM(G69)=TRIM(D69),"Review: same as English","Translated")))</x:f>
        <x:v>Review: same as English</x:v>
      </x:c>
      <x:c r="I69" s="27" t="str"/>
    </x:row>
    <x:row r="70" ht="62" customHeight="1">
      <x:c r="A70" s="25" t="n">
        <x:v>9</x:v>
      </x:c>
      <x:c r="B70" s="25" t="str">
        <x:v>question</x:v>
      </x:c>
      <x:c r="C70" s="25" t="str">
        <x:v>Question text | Leave Administration</x:v>
      </x:c>
      <x:c r="D70" s="25" t="str">
        <x:v>You plan to apply for four consecutive days of leave. When must the request be submitted under the specific planned-leave procedure?</x:v>
      </x:c>
      <x:c r="E70" s="27" t="str">
        <x:v>You plan to apply for four consecutive days of leave. When must the request be submitted under the specific planned-leave procedure?</x:v>
      </x:c>
      <x:c r="F70" s="25" t="str">
        <x:f>IF(ISNUMBER(SEARCH("Legacy translation mismatch",$I70)),"Review: legacy mismatch",IF(E70="","Missing",IF(TRIM(E70)=TRIM(D70),"Review: same as English","Translated")))</x:f>
        <x:v>Review: legacy mismatch</x:v>
      </x:c>
      <x:c r="G70" s="27" t="str">
        <x:v>You plan to apply for four consecutive days of leave. When must the request be submitted under the specific planned-leave procedure?</x:v>
      </x:c>
      <x:c r="H70" s="25" t="str">
        <x:f>IF(ISNUMBER(SEARCH("Legacy translation mismatch",$I70)),"Review: legacy mismatch",IF(G70="","Missing",IF(TRIM(G70)=TRIM(D70),"Review: same as English","Translated")))</x:f>
        <x:v>Review: legacy mismatch</x:v>
      </x:c>
      <x:c r="I70" s="27" t="str">
        <x:v>Legacy translation mismatch: this text targets an older quiz question set and must be retranslated.</x:v>
      </x:c>
    </x:row>
    <x:row r="71" ht="20" customHeight="1">
      <x:c r="A71" s="25" t="n">
        <x:v>9</x:v>
      </x:c>
      <x:c r="B71" s="25" t="str">
        <x:v>category</x:v>
      </x:c>
      <x:c r="C71" s="25" t="str">
        <x:v>Category label | Leave Administration</x:v>
      </x:c>
      <x:c r="D71" s="25" t="str">
        <x:v>Leave Administration</x:v>
      </x:c>
      <x:c r="E71" s="27" t="str">
        <x:v>Leave Administration</x:v>
      </x:c>
      <x:c r="F71" s="25" t="str">
        <x:f>IF(ISNUMBER(SEARCH("Legacy translation mismatch",$I71)),"Review: legacy mismatch",IF(E71="","Missing",IF(TRIM(E71)=TRIM(D71),"Review: same as English","Translated")))</x:f>
        <x:v>Review: same as English</x:v>
      </x:c>
      <x:c r="G71" s="27" t="str">
        <x:v>Leave Administration</x:v>
      </x:c>
      <x:c r="H71" s="25" t="str">
        <x:f>IF(ISNUMBER(SEARCH("Legacy translation mismatch",$I71)),"Review: legacy mismatch",IF(G71="","Missing",IF(TRIM(G71)=TRIM(D71),"Review: same as English","Translated")))</x:f>
        <x:v>Review: same as English</x:v>
      </x:c>
      <x:c r="I71" s="27" t="str"/>
    </x:row>
    <x:row r="72" ht="48" customHeight="1">
      <x:c r="A72" s="25" t="n">
        <x:v>9</x:v>
      </x:c>
      <x:c r="B72" s="25" t="str">
        <x:v>options[0]</x:v>
      </x:c>
      <x:c r="C72" s="25" t="str">
        <x:v>Answer option 1 | Leave Administration</x:v>
      </x:c>
      <x:c r="D72" s="25" t="str">
        <x:v>A. At least one week in advance.</x:v>
      </x:c>
      <x:c r="E72" s="27" t="str">
        <x:v>A. At least one week in advance.</x:v>
      </x:c>
      <x:c r="F72" s="25" t="str">
        <x:f>IF(ISNUMBER(SEARCH("Legacy translation mismatch",$I72)),"Review: legacy mismatch",IF(E72="","Missing",IF(TRIM(E72)=TRIM(D72),"Review: same as English","Translated")))</x:f>
        <x:v>Review: legacy mismatch</x:v>
      </x:c>
      <x:c r="G72" s="27" t="str">
        <x:v>A. At least one week in advance.</x:v>
      </x:c>
      <x:c r="H72" s="25" t="str">
        <x:f>IF(ISNUMBER(SEARCH("Legacy translation mismatch",$I72)),"Review: legacy mismatch",IF(G72="","Missing",IF(TRIM(G72)=TRIM(D72),"Review: same as English","Translated")))</x:f>
        <x:v>Review: legacy mismatch</x:v>
      </x:c>
      <x:c r="I72" s="27" t="str">
        <x:v>Legacy translation mismatch: this text targets an older quiz question set and must be retranslated.</x:v>
      </x:c>
    </x:row>
    <x:row r="73" ht="48" customHeight="1">
      <x:c r="A73" s="25" t="n">
        <x:v>9</x:v>
      </x:c>
      <x:c r="B73" s="25" t="str">
        <x:v>options[1]</x:v>
      </x:c>
      <x:c r="C73" s="25" t="str">
        <x:v>Answer option 2 | Leave Administration</x:v>
      </x:c>
      <x:c r="D73" s="25" t="str">
        <x:v>B. Two weeks in advance.</x:v>
      </x:c>
      <x:c r="E73" s="27" t="str">
        <x:v>B. Two weeks in advance.</x:v>
      </x:c>
      <x:c r="F73" s="25" t="str">
        <x:f>IF(ISNUMBER(SEARCH("Legacy translation mismatch",$I73)),"Review: legacy mismatch",IF(E73="","Missing",IF(TRIM(E73)=TRIM(D73),"Review: same as English","Translated")))</x:f>
        <x:v>Review: legacy mismatch</x:v>
      </x:c>
      <x:c r="G73" s="27" t="str">
        <x:v>B. Two weeks in advance.</x:v>
      </x:c>
      <x:c r="H73" s="25" t="str">
        <x:f>IF(ISNUMBER(SEARCH("Legacy translation mismatch",$I73)),"Review: legacy mismatch",IF(G73="","Missing",IF(TRIM(G73)=TRIM(D73),"Review: same as English","Translated")))</x:f>
        <x:v>Review: legacy mismatch</x:v>
      </x:c>
      <x:c r="I73" s="27" t="str">
        <x:v>Legacy translation mismatch: this text targets an older quiz question set and must be retranslated.</x:v>
      </x:c>
    </x:row>
    <x:row r="74" ht="48" customHeight="1">
      <x:c r="A74" s="25" t="n">
        <x:v>9</x:v>
      </x:c>
      <x:c r="B74" s="25" t="str">
        <x:v>options[2]</x:v>
      </x:c>
      <x:c r="C74" s="25" t="str">
        <x:v>Answer option 3 | Leave Administration</x:v>
      </x:c>
      <x:c r="D74" s="25" t="str">
        <x:v>C. One month in advance.</x:v>
      </x:c>
      <x:c r="E74" s="27" t="str">
        <x:v>C. One month in advance.</x:v>
      </x:c>
      <x:c r="F74" s="25" t="str">
        <x:f>IF(ISNUMBER(SEARCH("Legacy translation mismatch",$I74)),"Review: legacy mismatch",IF(E74="","Missing",IF(TRIM(E74)=TRIM(D74),"Review: same as English","Translated")))</x:f>
        <x:v>Review: legacy mismatch</x:v>
      </x:c>
      <x:c r="G74" s="27" t="str">
        <x:v>C. One month in advance.</x:v>
      </x:c>
      <x:c r="H74" s="25" t="str">
        <x:f>IF(ISNUMBER(SEARCH("Legacy translation mismatch",$I74)),"Review: legacy mismatch",IF(G74="","Missing",IF(TRIM(G74)=TRIM(D74),"Review: same as English","Translated")))</x:f>
        <x:v>Review: legacy mismatch</x:v>
      </x:c>
      <x:c r="I74" s="27" t="str">
        <x:v>Legacy translation mismatch: this text targets an older quiz question set and must be retranslated.</x:v>
      </x:c>
    </x:row>
    <x:row r="75" ht="48" customHeight="1">
      <x:c r="A75" s="25" t="n">
        <x:v>9</x:v>
      </x:c>
      <x:c r="B75" s="25" t="str">
        <x:v>options[3]</x:v>
      </x:c>
      <x:c r="C75" s="25" t="str">
        <x:v>Answer option 4 | Leave Administration</x:v>
      </x:c>
      <x:c r="D75" s="25" t="str">
        <x:v>D. Two months in advance.</x:v>
      </x:c>
      <x:c r="E75" s="27" t="str">
        <x:v>D. Two months in advance.</x:v>
      </x:c>
      <x:c r="F75" s="25" t="str">
        <x:f>IF(ISNUMBER(SEARCH("Legacy translation mismatch",$I75)),"Review: legacy mismatch",IF(E75="","Missing",IF(TRIM(E75)=TRIM(D75),"Review: same as English","Translated")))</x:f>
        <x:v>Review: legacy mismatch</x:v>
      </x:c>
      <x:c r="G75" s="27" t="str">
        <x:v>D. Two months in advance.</x:v>
      </x:c>
      <x:c r="H75" s="25" t="str">
        <x:f>IF(ISNUMBER(SEARCH("Legacy translation mismatch",$I75)),"Review: legacy mismatch",IF(G75="","Missing",IF(TRIM(G75)=TRIM(D75),"Review: same as English","Translated")))</x:f>
        <x:v>Review: legacy mismatch</x:v>
      </x:c>
      <x:c r="I75" s="27" t="str">
        <x:v>Legacy translation mismatch: this text targets an older quiz question set and must be retranslated.</x:v>
      </x:c>
    </x:row>
    <x:row r="76" ht="62" customHeight="1">
      <x:c r="A76" s="25" t="n">
        <x:v>9</x:v>
      </x:c>
      <x:c r="B76" s="25" t="str">
        <x:v>explanation</x:v>
      </x:c>
      <x:c r="C76" s="25" t="str">
        <x:v>Answer explanation | Leave Administration</x:v>
      </x:c>
      <x:c r="D76" s="25" t="str">
        <x:v>Requests for three to five days must be submitted one month in advance. Requests exceeding five days must be submitted two months in advance.</x:v>
      </x:c>
      <x:c r="E76" s="27" t="str">
        <x:v>Requests for three to five days must be submitted one month in advance. Requests exceeding five days must be submitted two months in advance.</x:v>
      </x:c>
      <x:c r="F76" s="25" t="str">
        <x:f>IF(ISNUMBER(SEARCH("Legacy translation mismatch",$I76)),"Review: legacy mismatch",IF(E76="","Missing",IF(TRIM(E76)=TRIM(D76),"Review: same as English","Translated")))</x:f>
        <x:v>Review: same as English</x:v>
      </x:c>
      <x:c r="G76" s="27" t="str">
        <x:v>Requests for three to five days must be submitted one month in advance. Requests exceeding five days must be submitted two months in advance.</x:v>
      </x:c>
      <x:c r="H76" s="25" t="str">
        <x:f>IF(ISNUMBER(SEARCH("Legacy translation mismatch",$I76)),"Review: legacy mismatch",IF(G76="","Missing",IF(TRIM(G76)=TRIM(D76),"Review: same as English","Translated")))</x:f>
        <x:v>Review: same as English</x:v>
      </x:c>
      <x:c r="I76" s="27" t="str"/>
    </x:row>
    <x:row r="77" ht="34" customHeight="1">
      <x:c r="A77" s="25" t="n">
        <x:v>9</x:v>
      </x:c>
      <x:c r="B77" s="25" t="str">
        <x:v>handbookSource</x:v>
      </x:c>
      <x:c r="C77" s="25" t="str">
        <x:v>Handbook source citation | Leave Administration</x:v>
      </x:c>
      <x:c r="D77" s="25" t="str">
        <x:v>Part 5, Leave Application Procedure (PDF p. 28)</x:v>
      </x:c>
      <x:c r="E77" s="27" t="str">
        <x:v>Part 5, Leave Application Procedure (PDF p. 28)</x:v>
      </x:c>
      <x:c r="F77" s="25" t="str">
        <x:f>IF(ISNUMBER(SEARCH("Legacy translation mismatch",$I77)),"Review: legacy mismatch",IF(E77="","Missing",IF(TRIM(E77)=TRIM(D77),"Review: same as English","Translated")))</x:f>
        <x:v>Review: same as English</x:v>
      </x:c>
      <x:c r="G77" s="27" t="str">
        <x:v>Part 5, Leave Application Procedure (PDF p. 28)</x:v>
      </x:c>
      <x:c r="H77" s="25" t="str">
        <x:f>IF(ISNUMBER(SEARCH("Legacy translation mismatch",$I77)),"Review: legacy mismatch",IF(G77="","Missing",IF(TRIM(G77)=TRIM(D77),"Review: same as English","Translated")))</x:f>
        <x:v>Review: same as English</x:v>
      </x:c>
      <x:c r="I77" s="27" t="str"/>
    </x:row>
    <x:row r="78" ht="48" customHeight="1">
      <x:c r="A78" s="25" t="n">
        <x:v>10</x:v>
      </x:c>
      <x:c r="B78" s="25" t="str">
        <x:v>question</x:v>
      </x:c>
      <x:c r="C78" s="25" t="str">
        <x:v>Question text | Leave Administration</x:v>
      </x:c>
      <x:c r="D78" s="25" t="str">
        <x:v>Before and during approved leave, which employee responsibilities apply? Select all that apply.</x:v>
      </x:c>
      <x:c r="E78" s="27" t="str">
        <x:v>Before and during approved leave, which employee responsibilities apply? Select all that apply.</x:v>
      </x:c>
      <x:c r="F78" s="25" t="str">
        <x:f>IF(ISNUMBER(SEARCH("Legacy translation mismatch",$I78)),"Review: legacy mismatch",IF(E78="","Missing",IF(TRIM(E78)=TRIM(D78),"Review: same as English","Translated")))</x:f>
        <x:v>Review: same as English</x:v>
      </x:c>
      <x:c r="G78" s="27" t="str">
        <x:v>Before and during approved leave, which employee responsibilities apply? Select all that apply.</x:v>
      </x:c>
      <x:c r="H78" s="25" t="str">
        <x:f>IF(ISNUMBER(SEARCH("Legacy translation mismatch",$I78)),"Review: legacy mismatch",IF(G78="","Missing",IF(TRIM(G78)=TRIM(D78),"Review: same as English","Translated")))</x:f>
        <x:v>Review: same as English</x:v>
      </x:c>
      <x:c r="I78" s="27" t="str">
        <x:v>Question translation is not currently provided.</x:v>
      </x:c>
    </x:row>
    <x:row r="79" ht="20" customHeight="1">
      <x:c r="A79" s="25" t="n">
        <x:v>10</x:v>
      </x:c>
      <x:c r="B79" s="25" t="str">
        <x:v>category</x:v>
      </x:c>
      <x:c r="C79" s="25" t="str">
        <x:v>Category label | Leave Administration</x:v>
      </x:c>
      <x:c r="D79" s="25" t="str">
        <x:v>Leave Administration</x:v>
      </x:c>
      <x:c r="E79" s="27" t="str">
        <x:v>Leave Administration</x:v>
      </x:c>
      <x:c r="F79" s="25" t="str">
        <x:f>IF(ISNUMBER(SEARCH("Legacy translation mismatch",$I79)),"Review: legacy mismatch",IF(E79="","Missing",IF(TRIM(E79)=TRIM(D79),"Review: same as English","Translated")))</x:f>
        <x:v>Review: same as English</x:v>
      </x:c>
      <x:c r="G79" s="27" t="str">
        <x:v>Leave Administration</x:v>
      </x:c>
      <x:c r="H79" s="25" t="str">
        <x:f>IF(ISNUMBER(SEARCH("Legacy translation mismatch",$I79)),"Review: legacy mismatch",IF(G79="","Missing",IF(TRIM(G79)=TRIM(D79),"Review: same as English","Translated")))</x:f>
        <x:v>Review: same as English</x:v>
      </x:c>
      <x:c r="I79" s="27" t="str"/>
    </x:row>
    <x:row r="80" ht="34" customHeight="1">
      <x:c r="A80" s="25" t="n">
        <x:v>10</x:v>
      </x:c>
      <x:c r="B80" s="25" t="str">
        <x:v>options[0]</x:v>
      </x:c>
      <x:c r="C80" s="25" t="str">
        <x:v>Answer option 1 | Leave Administration</x:v>
      </x:c>
      <x:c r="D80" s="25" t="str">
        <x:v>A. Obtain approval before proceeding on leave.</x:v>
      </x:c>
      <x:c r="E80" s="27" t="str">
        <x:v>A. Obtain approval before proceeding on leave.</x:v>
      </x:c>
      <x:c r="F80" s="25" t="str">
        <x:f>IF(ISNUMBER(SEARCH("Legacy translation mismatch",$I80)),"Review: legacy mismatch",IF(E80="","Missing",IF(TRIM(E80)=TRIM(D80),"Review: same as English","Translated")))</x:f>
        <x:v>Review: same as English</x:v>
      </x:c>
      <x:c r="G80" s="27" t="str">
        <x:v>A. Obtain approval before proceeding on leave.</x:v>
      </x:c>
      <x:c r="H80" s="25" t="str">
        <x:f>IF(ISNUMBER(SEARCH("Legacy translation mismatch",$I80)),"Review: legacy mismatch",IF(G80="","Missing",IF(TRIM(G80)=TRIM(D80),"Review: same as English","Translated")))</x:f>
        <x:v>Review: same as English</x:v>
      </x:c>
      <x:c r="I80" s="27" t="str"/>
    </x:row>
    <x:row r="81" ht="20" customHeight="1">
      <x:c r="A81" s="25" t="n">
        <x:v>10</x:v>
      </x:c>
      <x:c r="B81" s="25" t="str">
        <x:v>options[1]</x:v>
      </x:c>
      <x:c r="C81" s="25" t="str">
        <x:v>Answer option 2 | Leave Administration</x:v>
      </x:c>
      <x:c r="D81" s="25" t="str">
        <x:v>B. Complete a proper work handover.</x:v>
      </x:c>
      <x:c r="E81" s="27" t="str">
        <x:v>B. Complete a proper work handover.</x:v>
      </x:c>
      <x:c r="F81" s="25" t="str">
        <x:f>IF(ISNUMBER(SEARCH("Legacy translation mismatch",$I81)),"Review: legacy mismatch",IF(E81="","Missing",IF(TRIM(E81)=TRIM(D81),"Review: same as English","Translated")))</x:f>
        <x:v>Review: same as English</x:v>
      </x:c>
      <x:c r="G81" s="27" t="str">
        <x:v>B. Complete a proper work handover.</x:v>
      </x:c>
      <x:c r="H81" s="25" t="str">
        <x:f>IF(ISNUMBER(SEARCH("Legacy translation mismatch",$I81)),"Review: legacy mismatch",IF(G81="","Missing",IF(TRIM(G81)=TRIM(D81),"Review: same as English","Translated")))</x:f>
        <x:v>Review: same as English</x:v>
      </x:c>
      <x:c r="I81" s="27" t="str"/>
    </x:row>
    <x:row r="82" ht="20" customHeight="1">
      <x:c r="A82" s="25" t="n">
        <x:v>10</x:v>
      </x:c>
      <x:c r="B82" s="25" t="str">
        <x:v>options[2]</x:v>
      </x:c>
      <x:c r="C82" s="25" t="str">
        <x:v>Answer option 3 | Leave Administration</x:v>
      </x:c>
      <x:c r="D82" s="25" t="str">
        <x:v>C. Apply honestly and responsibly.</x:v>
      </x:c>
      <x:c r="E82" s="27" t="str">
        <x:v>C. Apply honestly and responsibly.</x:v>
      </x:c>
      <x:c r="F82" s="25" t="str">
        <x:f>IF(ISNUMBER(SEARCH("Legacy translation mismatch",$I82)),"Review: legacy mismatch",IF(E82="","Missing",IF(TRIM(E82)=TRIM(D82),"Review: same as English","Translated")))</x:f>
        <x:v>Review: same as English</x:v>
      </x:c>
      <x:c r="G82" s="27" t="str">
        <x:v>C. Apply honestly and responsibly.</x:v>
      </x:c>
      <x:c r="H82" s="25" t="str">
        <x:f>IF(ISNUMBER(SEARCH("Legacy translation mismatch",$I82)),"Review: legacy mismatch",IF(G82="","Missing",IF(TRIM(G82)=TRIM(D82),"Review: same as English","Translated")))</x:f>
        <x:v>Review: same as English</x:v>
      </x:c>
      <x:c r="I82" s="27" t="str"/>
    </x:row>
    <x:row r="83" ht="34" customHeight="1">
      <x:c r="A83" s="25" t="n">
        <x:v>10</x:v>
      </x:c>
      <x:c r="B83" s="25" t="str">
        <x:v>options[3]</x:v>
      </x:c>
      <x:c r="C83" s="25" t="str">
        <x:v>Answer option 4 | Leave Administration</x:v>
      </x:c>
      <x:c r="D83" s="25" t="str">
        <x:v>D. Remain contactable during emergencies where practicable.</x:v>
      </x:c>
      <x:c r="E83" s="27" t="str">
        <x:v>D. Remain contactable during emergencies where practicable.</x:v>
      </x:c>
      <x:c r="F83" s="25" t="str">
        <x:f>IF(ISNUMBER(SEARCH("Legacy translation mismatch",$I83)),"Review: legacy mismatch",IF(E83="","Missing",IF(TRIM(E83)=TRIM(D83),"Review: same as English","Translated")))</x:f>
        <x:v>Review: same as English</x:v>
      </x:c>
      <x:c r="G83" s="27" t="str">
        <x:v>D. Remain contactable during emergencies where practicable.</x:v>
      </x:c>
      <x:c r="H83" s="25" t="str">
        <x:f>IF(ISNUMBER(SEARCH("Legacy translation mismatch",$I83)),"Review: legacy mismatch",IF(G83="","Missing",IF(TRIM(G83)=TRIM(D83),"Review: same as English","Translated")))</x:f>
        <x:v>Review: same as English</x:v>
      </x:c>
      <x:c r="I83" s="27" t="str"/>
    </x:row>
    <x:row r="84" ht="34" customHeight="1">
      <x:c r="A84" s="25" t="n">
        <x:v>10</x:v>
      </x:c>
      <x:c r="B84" s="25" t="str">
        <x:v>options[4]</x:v>
      </x:c>
      <x:c r="C84" s="25" t="str">
        <x:v>Answer option 5 | Leave Administration</x:v>
      </x:c>
      <x:c r="D84" s="25" t="str">
        <x:v>E. Proceed if the Supervisor has not replied by the intended start date.</x:v>
      </x:c>
      <x:c r="E84" s="27" t="str">
        <x:v>E. Proceed if the Supervisor has not replied by the intended start date.</x:v>
      </x:c>
      <x:c r="F84" s="25" t="str">
        <x:f>IF(ISNUMBER(SEARCH("Legacy translation mismatch",$I84)),"Review: legacy mismatch",IF(E84="","Missing",IF(TRIM(E84)=TRIM(D84),"Review: same as English","Translated")))</x:f>
        <x:v>Review: same as English</x:v>
      </x:c>
      <x:c r="G84" s="27" t="str">
        <x:v>E. Proceed if the Supervisor has not replied by the intended start date.</x:v>
      </x:c>
      <x:c r="H84" s="25" t="str">
        <x:f>IF(ISNUMBER(SEARCH("Legacy translation mismatch",$I84)),"Review: legacy mismatch",IF(G84="","Missing",IF(TRIM(G84)=TRIM(D84),"Review: same as English","Translated")))</x:f>
        <x:v>Review: same as English</x:v>
      </x:c>
      <x:c r="I84" s="27" t="str"/>
    </x:row>
    <x:row r="85" ht="62" customHeight="1">
      <x:c r="A85" s="25" t="n">
        <x:v>10</x:v>
      </x:c>
      <x:c r="B85" s="25" t="str">
        <x:v>explanation</x:v>
      </x:c>
      <x:c r="C85" s="25" t="str">
        <x:v>Answer explanation | Leave Administration</x:v>
      </x:c>
      <x:c r="D85" s="25" t="str">
        <x:v>The general leave guidelines require approval, honest use, proper handover and emergency contactability where practicable. Employees must not proceed without approval.</x:v>
      </x:c>
      <x:c r="E85" s="27" t="str">
        <x:v>The general leave guidelines require approval, honest use, proper handover and emergency contactability where practicable. Employees must not proceed without approval.</x:v>
      </x:c>
      <x:c r="F85" s="25" t="str">
        <x:f>IF(ISNUMBER(SEARCH("Legacy translation mismatch",$I85)),"Review: legacy mismatch",IF(E85="","Missing",IF(TRIM(E85)=TRIM(D85),"Review: same as English","Translated")))</x:f>
        <x:v>Review: same as English</x:v>
      </x:c>
      <x:c r="G85" s="27" t="str">
        <x:v>The general leave guidelines require approval, honest use, proper handover and emergency contactability where practicable. Employees must not proceed without approval.</x:v>
      </x:c>
      <x:c r="H85" s="25" t="str">
        <x:f>IF(ISNUMBER(SEARCH("Legacy translation mismatch",$I85)),"Review: legacy mismatch",IF(G85="","Missing",IF(TRIM(G85)=TRIM(D85),"Review: same as English","Translated")))</x:f>
        <x:v>Review: same as English</x:v>
      </x:c>
      <x:c r="I85" s="27" t="str"/>
    </x:row>
    <x:row r="86" ht="34" customHeight="1">
      <x:c r="A86" s="25" t="n">
        <x:v>10</x:v>
      </x:c>
      <x:c r="B86" s="25" t="str">
        <x:v>handbookSource</x:v>
      </x:c>
      <x:c r="C86" s="25" t="str">
        <x:v>Handbook source citation | Leave Administration</x:v>
      </x:c>
      <x:c r="D86" s="25" t="str">
        <x:v>Part 5, General Leave Guidelines (PDF p. 29)</x:v>
      </x:c>
      <x:c r="E86" s="27" t="str">
        <x:v>Part 5, General Leave Guidelines (PDF p. 29)</x:v>
      </x:c>
      <x:c r="F86" s="25" t="str">
        <x:f>IF(ISNUMBER(SEARCH("Legacy translation mismatch",$I86)),"Review: legacy mismatch",IF(E86="","Missing",IF(TRIM(E86)=TRIM(D86),"Review: same as English","Translated")))</x:f>
        <x:v>Review: same as English</x:v>
      </x:c>
      <x:c r="G86" s="27" t="str">
        <x:v>Part 5, General Leave Guidelines (PDF p. 29)</x:v>
      </x:c>
      <x:c r="H86" s="25" t="str">
        <x:f>IF(ISNUMBER(SEARCH("Legacy translation mismatch",$I86)),"Review: legacy mismatch",IF(G86="","Missing",IF(TRIM(G86)=TRIM(D86),"Review: same as English","Translated")))</x:f>
        <x:v>Review: same as English</x:v>
      </x:c>
      <x:c r="I86" s="27" t="str"/>
    </x:row>
    <x:row r="87" ht="48" customHeight="1">
      <x:c r="A87" s="25" t="n">
        <x:v>11</x:v>
      </x:c>
      <x:c r="B87" s="25" t="str">
        <x:v>question</x:v>
      </x:c>
      <x:c r="C87" s="25" t="str">
        <x:v>Question text | Payroll, Claims and Employee Records</x:v>
      </x:c>
      <x:c r="D87" s="25" t="str">
        <x:v>You submit an otherwise valid business expense claim on the 27th day of the month. What normally happens?</x:v>
      </x:c>
      <x:c r="E87" s="27" t="str">
        <x:v>You submit an otherwise valid business expense claim on the 27th day of the month. What normally happens?</x:v>
      </x:c>
      <x:c r="F87" s="25" t="str">
        <x:f>IF(ISNUMBER(SEARCH("Legacy translation mismatch",$I87)),"Review: legacy mismatch",IF(E87="","Missing",IF(TRIM(E87)=TRIM(D87),"Review: same as English","Translated")))</x:f>
        <x:v>Review: same as English</x:v>
      </x:c>
      <x:c r="G87" s="27" t="str">
        <x:v>You submit an otherwise valid business expense claim on the 27th day of the month. What normally happens?</x:v>
      </x:c>
      <x:c r="H87" s="25" t="str">
        <x:f>IF(ISNUMBER(SEARCH("Legacy translation mismatch",$I87)),"Review: legacy mismatch",IF(G87="","Missing",IF(TRIM(G87)=TRIM(D87),"Review: same as English","Translated")))</x:f>
        <x:v>Review: same as English</x:v>
      </x:c>
      <x:c r="I87" s="27" t="str">
        <x:v>Question translation is not currently provided.</x:v>
      </x:c>
    </x:row>
    <x:row r="88" ht="34" customHeight="1">
      <x:c r="A88" s="25" t="n">
        <x:v>11</x:v>
      </x:c>
      <x:c r="B88" s="25" t="str">
        <x:v>category</x:v>
      </x:c>
      <x:c r="C88" s="25" t="str">
        <x:v>Category label | Payroll, Claims and Employee Records</x:v>
      </x:c>
      <x:c r="D88" s="25" t="str">
        <x:v>Payroll, Claims and Employee Records</x:v>
      </x:c>
      <x:c r="E88" s="27" t="str">
        <x:v>Payroll, Claims and Employee Records</x:v>
      </x:c>
      <x:c r="F88" s="25" t="str">
        <x:f>IF(ISNUMBER(SEARCH("Legacy translation mismatch",$I88)),"Review: legacy mismatch",IF(E88="","Missing",IF(TRIM(E88)=TRIM(D88),"Review: same as English","Translated")))</x:f>
        <x:v>Review: same as English</x:v>
      </x:c>
      <x:c r="G88" s="27" t="str">
        <x:v>Payroll, Claims and Employee Records</x:v>
      </x:c>
      <x:c r="H88" s="25" t="str">
        <x:f>IF(ISNUMBER(SEARCH("Legacy translation mismatch",$I88)),"Review: legacy mismatch",IF(G88="","Missing",IF(TRIM(G88)=TRIM(D88),"Review: same as English","Translated")))</x:f>
        <x:v>Review: same as English</x:v>
      </x:c>
      <x:c r="I88" s="27" t="str"/>
    </x:row>
    <x:row r="89" ht="34" customHeight="1">
      <x:c r="A89" s="25" t="n">
        <x:v>11</x:v>
      </x:c>
      <x:c r="B89" s="25" t="str">
        <x:v>options[0]</x:v>
      </x:c>
      <x:c r="C89" s="25" t="str">
        <x:v>Answer option 1 | Payroll, Claims and Employee Records</x:v>
      </x:c>
      <x:c r="D89" s="25" t="str">
        <x:v>A. It is automatically rejected.</x:v>
      </x:c>
      <x:c r="E89" s="27" t="str">
        <x:v>A. It is automatically rejected.</x:v>
      </x:c>
      <x:c r="F89" s="25" t="str">
        <x:f>IF(ISNUMBER(SEARCH("Legacy translation mismatch",$I89)),"Review: legacy mismatch",IF(E89="","Missing",IF(TRIM(E89)=TRIM(D89),"Review: same as English","Translated")))</x:f>
        <x:v>Review: same as English</x:v>
      </x:c>
      <x:c r="G89" s="27" t="str">
        <x:v>A. It is automatically rejected.</x:v>
      </x:c>
      <x:c r="H89" s="25" t="str">
        <x:f>IF(ISNUMBER(SEARCH("Legacy translation mismatch",$I89)),"Review: legacy mismatch",IF(G89="","Missing",IF(TRIM(G89)=TRIM(D89),"Review: same as English","Translated")))</x:f>
        <x:v>Review: same as English</x:v>
      </x:c>
      <x:c r="I89" s="27" t="str"/>
    </x:row>
    <x:row r="90" ht="48" customHeight="1">
      <x:c r="A90" s="25" t="n">
        <x:v>11</x:v>
      </x:c>
      <x:c r="B90" s="25" t="str">
        <x:v>options[1]</x:v>
      </x:c>
      <x:c r="C90" s="25" t="str">
        <x:v>Answer option 2 | Payroll, Claims and Employee Records</x:v>
      </x:c>
      <x:c r="D90" s="25" t="str">
        <x:v>B. It is carried forward to the next month's processing cycle, provided it is still submitted within one month of the expense.</x:v>
      </x:c>
      <x:c r="E90" s="27" t="str">
        <x:v>B. It is carried forward to the next month's processing cycle, provided it is still submitted within one month of the expense.</x:v>
      </x:c>
      <x:c r="F90" s="25" t="str">
        <x:f>IF(ISNUMBER(SEARCH("Legacy translation mismatch",$I90)),"Review: legacy mismatch",IF(E90="","Missing",IF(TRIM(E90)=TRIM(D90),"Review: same as English","Translated")))</x:f>
        <x:v>Review: same as English</x:v>
      </x:c>
      <x:c r="G90" s="27" t="str">
        <x:v>B. It is carried forward to the next month's processing cycle, provided it is still submitted within one month of the expense.</x:v>
      </x:c>
      <x:c r="H90" s="25" t="str">
        <x:f>IF(ISNUMBER(SEARCH("Legacy translation mismatch",$I90)),"Review: legacy mismatch",IF(G90="","Missing",IF(TRIM(G90)=TRIM(D90),"Review: same as English","Translated")))</x:f>
        <x:v>Review: same as English</x:v>
      </x:c>
      <x:c r="I90" s="27" t="str"/>
    </x:row>
    <x:row r="91" ht="34" customHeight="1">
      <x:c r="A91" s="25" t="n">
        <x:v>11</x:v>
      </x:c>
      <x:c r="B91" s="25" t="str">
        <x:v>options[2]</x:v>
      </x:c>
      <x:c r="C91" s="25" t="str">
        <x:v>Answer option 3 | Payroll, Claims and Employee Records</x:v>
      </x:c>
      <x:c r="D91" s="25" t="str">
        <x:v>C. It is paid with salary on the last day of the same month.</x:v>
      </x:c>
      <x:c r="E91" s="27" t="str">
        <x:v>C. It is paid with salary on the last day of the same month.</x:v>
      </x:c>
      <x:c r="F91" s="25" t="str">
        <x:f>IF(ISNUMBER(SEARCH("Legacy translation mismatch",$I91)),"Review: legacy mismatch",IF(E91="","Missing",IF(TRIM(E91)=TRIM(D91),"Review: same as English","Translated")))</x:f>
        <x:v>Review: same as English</x:v>
      </x:c>
      <x:c r="G91" s="27" t="str">
        <x:v>C. It is paid with salary on the last day of the same month.</x:v>
      </x:c>
      <x:c r="H91" s="25" t="str">
        <x:f>IF(ISNUMBER(SEARCH("Legacy translation mismatch",$I91)),"Review: legacy mismatch",IF(G91="","Missing",IF(TRIM(G91)=TRIM(D91),"Review: same as English","Translated")))</x:f>
        <x:v>Review: same as English</x:v>
      </x:c>
      <x:c r="I91" s="27" t="str"/>
    </x:row>
    <x:row r="92" ht="34" customHeight="1">
      <x:c r="A92" s="25" t="n">
        <x:v>11</x:v>
      </x:c>
      <x:c r="B92" s="25" t="str">
        <x:v>options[3]</x:v>
      </x:c>
      <x:c r="C92" s="25" t="str">
        <x:v>Answer option 4 | Payroll, Claims and Employee Records</x:v>
      </x:c>
      <x:c r="D92" s="25" t="str">
        <x:v>D. It is converted into Replacement Leave.</x:v>
      </x:c>
      <x:c r="E92" s="27" t="str">
        <x:v>D. It is converted into Replacement Leave.</x:v>
      </x:c>
      <x:c r="F92" s="25" t="str">
        <x:f>IF(ISNUMBER(SEARCH("Legacy translation mismatch",$I92)),"Review: legacy mismatch",IF(E92="","Missing",IF(TRIM(E92)=TRIM(D92),"Review: same as English","Translated")))</x:f>
        <x:v>Review: same as English</x:v>
      </x:c>
      <x:c r="G92" s="27" t="str">
        <x:v>D. It is converted into Replacement Leave.</x:v>
      </x:c>
      <x:c r="H92" s="25" t="str">
        <x:f>IF(ISNUMBER(SEARCH("Legacy translation mismatch",$I92)),"Review: legacy mismatch",IF(G92="","Missing",IF(TRIM(G92)=TRIM(D92),"Review: same as English","Translated")))</x:f>
        <x:v>Review: same as English</x:v>
      </x:c>
      <x:c r="I92" s="27" t="str"/>
    </x:row>
    <x:row r="93" ht="62" customHeight="1">
      <x:c r="A93" s="25" t="n">
        <x:v>11</x:v>
      </x:c>
      <x:c r="B93" s="25" t="str">
        <x:v>explanation</x:v>
      </x:c>
      <x:c r="C93" s="25" t="str">
        <x:v>Answer explanation | Payroll, Claims and Employee Records</x:v>
      </x:c>
      <x:c r="D93" s="25" t="str">
        <x:v>Claims submitted after the 25th cut-off are carried to the next processing cycle. All claims must still be submitted within one month from the expense date.</x:v>
      </x:c>
      <x:c r="E93" s="27" t="str">
        <x:v>Claims submitted after the 25th cut-off are carried to the next processing cycle. All claims must still be submitted within one month from the expense date.</x:v>
      </x:c>
      <x:c r="F93" s="25" t="str">
        <x:f>IF(ISNUMBER(SEARCH("Legacy translation mismatch",$I93)),"Review: legacy mismatch",IF(E93="","Missing",IF(TRIM(E93)=TRIM(D93),"Review: same as English","Translated")))</x:f>
        <x:v>Review: same as English</x:v>
      </x:c>
      <x:c r="G93" s="27" t="str">
        <x:v>Claims submitted after the 25th cut-off are carried to the next processing cycle. All claims must still be submitted within one month from the expense date.</x:v>
      </x:c>
      <x:c r="H93" s="25" t="str">
        <x:f>IF(ISNUMBER(SEARCH("Legacy translation mismatch",$I93)),"Review: legacy mismatch",IF(G93="","Missing",IF(TRIM(G93)=TRIM(D93),"Review: same as English","Translated")))</x:f>
        <x:v>Review: same as English</x:v>
      </x:c>
      <x:c r="I93" s="27" t="str"/>
    </x:row>
    <x:row r="94" ht="34" customHeight="1">
      <x:c r="A94" s="25" t="n">
        <x:v>11</x:v>
      </x:c>
      <x:c r="B94" s="25" t="str">
        <x:v>handbookSource</x:v>
      </x:c>
      <x:c r="C94" s="25" t="str">
        <x:v>Handbook source citation | Payroll, Claims and Employee Records</x:v>
      </x:c>
      <x:c r="D94" s="25" t="str">
        <x:v>Part 6, Claims and Reimbursement Policy (PDF p. 32)</x:v>
      </x:c>
      <x:c r="E94" s="27" t="str">
        <x:v>Part 6, Claims and Reimbursement Policy (PDF p. 32)</x:v>
      </x:c>
      <x:c r="F94" s="25" t="str">
        <x:f>IF(ISNUMBER(SEARCH("Legacy translation mismatch",$I94)),"Review: legacy mismatch",IF(E94="","Missing",IF(TRIM(E94)=TRIM(D94),"Review: same as English","Translated")))</x:f>
        <x:v>Review: same as English</x:v>
      </x:c>
      <x:c r="G94" s="27" t="str">
        <x:v>Part 6, Claims and Reimbursement Policy (PDF p. 32)</x:v>
      </x:c>
      <x:c r="H94" s="25" t="str">
        <x:f>IF(ISNUMBER(SEARCH("Legacy translation mismatch",$I94)),"Review: legacy mismatch",IF(G94="","Missing",IF(TRIM(G94)=TRIM(D94),"Review: same as English","Translated")))</x:f>
        <x:v>Review: same as English</x:v>
      </x:c>
      <x:c r="I94" s="27" t="str"/>
    </x:row>
    <x:row r="95" ht="48" customHeight="1">
      <x:c r="A95" s="25" t="n">
        <x:v>12</x:v>
      </x:c>
      <x:c r="B95" s="25" t="str">
        <x:v>question</x:v>
      </x:c>
      <x:c r="C95" s="25" t="str">
        <x:v>Question text | Payroll, Claims and Employee Records</x:v>
      </x:c>
      <x:c r="D95" s="25" t="str">
        <x:v>A sales employee submits a client-meal claim without a receipt or Supervisor approval. What is the most likely result?</x:v>
      </x:c>
      <x:c r="E95" s="27" t="str">
        <x:v>Manakah antara berikut yang paling tepat menerangkan dasar Red Point mengenai hadiah pelanggan?</x:v>
      </x:c>
      <x:c r="F95" s="25" t="str">
        <x:f>IF(ISNUMBER(SEARCH("Legacy translation mismatch",$I95)),"Review: legacy mismatch",IF(E95="","Missing",IF(TRIM(E95)=TRIM(D95),"Review: same as English","Translated")))</x:f>
        <x:v>Translated</x:v>
      </x:c>
      <x:c r="G95" s="27" t="str">
        <x:v>以下哪项最准确地描述了 Red Point 关于客户外界礼品的政策？</x:v>
      </x:c>
      <x:c r="H95" s="25" t="str">
        <x:f>IF(ISNUMBER(SEARCH("Legacy translation mismatch",$I95)),"Review: legacy mismatch",IF(G95="","Missing",IF(TRIM(G95)=TRIM(D95),"Review: same as English","Translated")))</x:f>
        <x:v>Translated</x:v>
      </x:c>
      <x:c r="I95" s="27" t="str">
        <x:v>Question translation is not currently provided.</x:v>
      </x:c>
    </x:row>
    <x:row r="96" ht="34" customHeight="1">
      <x:c r="A96" s="25" t="n">
        <x:v>12</x:v>
      </x:c>
      <x:c r="B96" s="25" t="str">
        <x:v>category</x:v>
      </x:c>
      <x:c r="C96" s="25" t="str">
        <x:v>Category label | Payroll, Claims and Employee Records</x:v>
      </x:c>
      <x:c r="D96" s="25" t="str">
        <x:v>Payroll, Claims and Employee Records</x:v>
      </x:c>
      <x:c r="E96" s="27" t="str">
        <x:v>Payroll, Claims and Employee Records</x:v>
      </x:c>
      <x:c r="F96" s="25" t="str">
        <x:f>IF(ISNUMBER(SEARCH("Legacy translation mismatch",$I96)),"Review: legacy mismatch",IF(E96="","Missing",IF(TRIM(E96)=TRIM(D96),"Review: same as English","Translated")))</x:f>
        <x:v>Review: same as English</x:v>
      </x:c>
      <x:c r="G96" s="27" t="str">
        <x:v>Payroll, Claims and Employee Records</x:v>
      </x:c>
      <x:c r="H96" s="25" t="str">
        <x:f>IF(ISNUMBER(SEARCH("Legacy translation mismatch",$I96)),"Review: legacy mismatch",IF(G96="","Missing",IF(TRIM(G96)=TRIM(D96),"Review: same as English","Translated")))</x:f>
        <x:v>Review: same as English</x:v>
      </x:c>
      <x:c r="I96" s="27" t="str"/>
    </x:row>
    <x:row r="97" ht="34" customHeight="1">
      <x:c r="A97" s="25" t="n">
        <x:v>12</x:v>
      </x:c>
      <x:c r="B97" s="25" t="str">
        <x:v>options[0]</x:v>
      </x:c>
      <x:c r="C97" s="25" t="str">
        <x:v>Answer option 1 | Payroll, Claims and Employee Records</x:v>
      </x:c>
      <x:c r="D97" s="25" t="str">
        <x:v>A. The claim must be paid because it was for a client.</x:v>
      </x:c>
      <x:c r="E97" s="27" t="str">
        <x:v>Terima semua hadiah tanpa mengira nilai.</x:v>
      </x:c>
      <x:c r="F97" s="25" t="str">
        <x:f>IF(ISNUMBER(SEARCH("Legacy translation mismatch",$I97)),"Review: legacy mismatch",IF(E97="","Missing",IF(TRIM(E97)=TRIM(D97),"Review: same as English","Translated")))</x:f>
        <x:v>Translated</x:v>
      </x:c>
      <x:c r="G97" s="27" t="str">
        <x:v>无论价值多少，接受所有礼品。</x:v>
      </x:c>
      <x:c r="H97" s="25" t="str">
        <x:f>IF(ISNUMBER(SEARCH("Legacy translation mismatch",$I97)),"Review: legacy mismatch",IF(G97="","Missing",IF(TRIM(G97)=TRIM(D97),"Review: same as English","Translated")))</x:f>
        <x:v>Translated</x:v>
      </x:c>
      <x:c r="I97" s="27" t="str"/>
    </x:row>
    <x:row r="98" ht="34" customHeight="1">
      <x:c r="A98" s="25" t="n">
        <x:v>12</x:v>
      </x:c>
      <x:c r="B98" s="25" t="str">
        <x:v>options[1]</x:v>
      </x:c>
      <x:c r="C98" s="25" t="str">
        <x:v>Answer option 2 | Payroll, Claims and Employee Records</x:v>
      </x:c>
      <x:c r="D98" s="25" t="str">
        <x:v>B. The claim may be rejected as incomplete or unsupported.</x:v>
      </x:c>
      <x:c r="E98" s="27" t="str">
        <x:v>Terima hadiah di bawah RM100 dengan pengisytiharan kepada HR.</x:v>
      </x:c>
      <x:c r="F98" s="25" t="str">
        <x:f>IF(ISNUMBER(SEARCH("Legacy translation mismatch",$I98)),"Review: legacy mismatch",IF(E98="","Missing",IF(TRIM(E98)=TRIM(D98),"Review: same as English","Translated")))</x:f>
        <x:v>Translated</x:v>
      </x:c>
      <x:c r="G98" s="27" t="str">
        <x:v>接受价值低于 RM100 的礼品，但须向 HR 备案。</x:v>
      </x:c>
      <x:c r="H98" s="25" t="str">
        <x:f>IF(ISNUMBER(SEARCH("Legacy translation mismatch",$I98)),"Review: legacy mismatch",IF(G98="","Missing",IF(TRIM(G98)=TRIM(D98),"Review: same as English","Translated")))</x:f>
        <x:v>Translated</x:v>
      </x:c>
      <x:c r="I98" s="27" t="str"/>
    </x:row>
    <x:row r="99" ht="34" customHeight="1">
      <x:c r="A99" s="25" t="n">
        <x:v>12</x:v>
      </x:c>
      <x:c r="B99" s="25" t="str">
        <x:v>options[2]</x:v>
      </x:c>
      <x:c r="C99" s="25" t="str">
        <x:v>Answer option 3 | Payroll, Claims and Employee Records</x:v>
      </x:c>
      <x:c r="D99" s="25" t="str">
        <x:v>C. The claim is approved if the employee explains it verbally.</x:v>
      </x:c>
      <x:c r="E99" s="27" t="str">
        <x:v>Tolak semua hadiah tanpa syarat.</x:v>
      </x:c>
      <x:c r="F99" s="25" t="str">
        <x:f>IF(ISNUMBER(SEARCH("Legacy translation mismatch",$I99)),"Review: legacy mismatch",IF(E99="","Missing",IF(TRIM(E99)=TRIM(D99),"Review: same as English","Translated")))</x:f>
        <x:v>Translated</x:v>
      </x:c>
      <x:c r="G99" s="27" t="str">
        <x:v>无条件婉拒一切礼品。</x:v>
      </x:c>
      <x:c r="H99" s="25" t="str">
        <x:f>IF(ISNUMBER(SEARCH("Legacy translation mismatch",$I99)),"Review: legacy mismatch",IF(G99="","Missing",IF(TRIM(G99)=TRIM(D99),"Review: same as English","Translated")))</x:f>
        <x:v>Translated</x:v>
      </x:c>
      <x:c r="I99" s="27" t="str"/>
    </x:row>
    <x:row r="100" ht="34" customHeight="1">
      <x:c r="A100" s="25" t="n">
        <x:v>12</x:v>
      </x:c>
      <x:c r="B100" s="25" t="str">
        <x:v>options[3]</x:v>
      </x:c>
      <x:c r="C100" s="25" t="str">
        <x:v>Answer option 4 | Payroll, Claims and Employee Records</x:v>
      </x:c>
      <x:c r="D100" s="25" t="str">
        <x:v>D. The claim is paid first and checked during the annual audit.</x:v>
      </x:c>
      <x:c r="E100" s="27" t="str">
        <x:v>Hanya terima hadiah semasa musim perayaan.</x:v>
      </x:c>
      <x:c r="F100" s="25" t="str">
        <x:f>IF(ISNUMBER(SEARCH("Legacy translation mismatch",$I100)),"Review: legacy mismatch",IF(E100="","Missing",IF(TRIM(E100)=TRIM(D100),"Review: same as English","Translated")))</x:f>
        <x:v>Translated</x:v>
      </x:c>
      <x:c r="G100" s="27" t="str">
        <x:v>仅在开斋节或农历新年等节日期间接受礼品。</x:v>
      </x:c>
      <x:c r="H100" s="25" t="str">
        <x:f>IF(ISNUMBER(SEARCH("Legacy translation mismatch",$I100)),"Review: legacy mismatch",IF(G100="","Missing",IF(TRIM(G100)=TRIM(D100),"Review: same as English","Translated")))</x:f>
        <x:v>Translated</x:v>
      </x:c>
      <x:c r="I100" s="27" t="str"/>
    </x:row>
    <x:row r="101" ht="76" customHeight="1">
      <x:c r="A101" s="25" t="n">
        <x:v>12</x:v>
      </x:c>
      <x:c r="B101" s="25" t="str">
        <x:v>explanation</x:v>
      </x:c>
      <x:c r="C101" s="25" t="str">
        <x:v>Answer explanation | Payroll, Claims and Employee Records</x:v>
      </x:c>
      <x:c r="D101" s="25" t="str">
        <x:v>Employees must use the prescribed form or system, attach original receipts or supporting documents and obtain Supervisor approval. Incomplete or unsupported claims may be rejected.</x:v>
      </x:c>
      <x:c r="E101" s="27" t="str">
        <x:v>Employees must use the prescribed form or system, attach original receipts or supporting documents and obtain Supervisor approval. Incomplete or unsupported claims may be rejected.</x:v>
      </x:c>
      <x:c r="F101" s="25" t="str">
        <x:f>IF(ISNUMBER(SEARCH("Legacy translation mismatch",$I101)),"Review: legacy mismatch",IF(E101="","Missing",IF(TRIM(E101)=TRIM(D101),"Review: same as English","Translated")))</x:f>
        <x:v>Review: same as English</x:v>
      </x:c>
      <x:c r="G101" s="27" t="str">
        <x:v>Employees must use the prescribed form or system, attach original receipts or supporting documents and obtain Supervisor approval. Incomplete or unsupported claims may be rejected.</x:v>
      </x:c>
      <x:c r="H101" s="25" t="str">
        <x:f>IF(ISNUMBER(SEARCH("Legacy translation mismatch",$I101)),"Review: legacy mismatch",IF(G101="","Missing",IF(TRIM(G101)=TRIM(D101),"Review: same as English","Translated")))</x:f>
        <x:v>Review: same as English</x:v>
      </x:c>
      <x:c r="I101" s="27" t="str"/>
    </x:row>
    <x:row r="102" ht="34" customHeight="1">
      <x:c r="A102" s="25" t="n">
        <x:v>12</x:v>
      </x:c>
      <x:c r="B102" s="25" t="str">
        <x:v>handbookSource</x:v>
      </x:c>
      <x:c r="C102" s="25" t="str">
        <x:v>Handbook source citation | Payroll, Claims and Employee Records</x:v>
      </x:c>
      <x:c r="D102" s="25" t="str">
        <x:v>Part 6, Claims and Reimbursement Policy (PDF p. 32)</x:v>
      </x:c>
      <x:c r="E102" s="27" t="str">
        <x:v>Part 6, Claims and Reimbursement Policy (PDF p. 32)</x:v>
      </x:c>
      <x:c r="F102" s="25" t="str">
        <x:f>IF(ISNUMBER(SEARCH("Legacy translation mismatch",$I102)),"Review: legacy mismatch",IF(E102="","Missing",IF(TRIM(E102)=TRIM(D102),"Review: same as English","Translated")))</x:f>
        <x:v>Review: same as English</x:v>
      </x:c>
      <x:c r="G102" s="27" t="str">
        <x:v>Part 6, Claims and Reimbursement Policy (PDF p. 32)</x:v>
      </x:c>
      <x:c r="H102" s="25" t="str">
        <x:f>IF(ISNUMBER(SEARCH("Legacy translation mismatch",$I102)),"Review: legacy mismatch",IF(G102="","Missing",IF(TRIM(G102)=TRIM(D102),"Review: same as English","Translated")))</x:f>
        <x:v>Review: same as English</x:v>
      </x:c>
      <x:c r="I102" s="27" t="str"/>
    </x:row>
    <x:row r="103" ht="48" customHeight="1">
      <x:c r="A103" s="25" t="n">
        <x:v>13</x:v>
      </x:c>
      <x:c r="B103" s="25" t="str">
        <x:v>question</x:v>
      </x:c>
      <x:c r="C103" s="25" t="str">
        <x:v>Question text | Payroll, Claims and Employee Records</x:v>
      </x:c>
      <x:c r="D103" s="25" t="str">
        <x:v>Which payroll and employee-record responsibilities are correct? Select all that apply.</x:v>
      </x:c>
      <x:c r="E103" s="27" t="str">
        <x:v>Which payroll and employee-record responsibilities are correct? Select all that apply.</x:v>
      </x:c>
      <x:c r="F103" s="25" t="str">
        <x:f>IF(ISNUMBER(SEARCH("Legacy translation mismatch",$I103)),"Review: legacy mismatch",IF(E103="","Missing",IF(TRIM(E103)=TRIM(D103),"Review: same as English","Translated")))</x:f>
        <x:v>Review: same as English</x:v>
      </x:c>
      <x:c r="G103" s="27" t="str">
        <x:v>Which payroll and employee-record responsibilities are correct? Select all that apply.</x:v>
      </x:c>
      <x:c r="H103" s="25" t="str">
        <x:f>IF(ISNUMBER(SEARCH("Legacy translation mismatch",$I103)),"Review: legacy mismatch",IF(G103="","Missing",IF(TRIM(G103)=TRIM(D103),"Review: same as English","Translated")))</x:f>
        <x:v>Review: same as English</x:v>
      </x:c>
      <x:c r="I103" s="27" t="str">
        <x:v>Question translation is not currently provided.</x:v>
      </x:c>
    </x:row>
    <x:row r="104" ht="34" customHeight="1">
      <x:c r="A104" s="25" t="n">
        <x:v>13</x:v>
      </x:c>
      <x:c r="B104" s="25" t="str">
        <x:v>category</x:v>
      </x:c>
      <x:c r="C104" s="25" t="str">
        <x:v>Category label | Payroll, Claims and Employee Records</x:v>
      </x:c>
      <x:c r="D104" s="25" t="str">
        <x:v>Payroll, Claims and Employee Records</x:v>
      </x:c>
      <x:c r="E104" s="27" t="str">
        <x:v>Payroll, Claims and Employee Records</x:v>
      </x:c>
      <x:c r="F104" s="25" t="str">
        <x:f>IF(ISNUMBER(SEARCH("Legacy translation mismatch",$I104)),"Review: legacy mismatch",IF(E104="","Missing",IF(TRIM(E104)=TRIM(D104),"Review: same as English","Translated")))</x:f>
        <x:v>Review: same as English</x:v>
      </x:c>
      <x:c r="G104" s="27" t="str">
        <x:v>Payroll, Claims and Employee Records</x:v>
      </x:c>
      <x:c r="H104" s="25" t="str">
        <x:f>IF(ISNUMBER(SEARCH("Legacy translation mismatch",$I104)),"Review: legacy mismatch",IF(G104="","Missing",IF(TRIM(G104)=TRIM(D104),"Review: same as English","Translated")))</x:f>
        <x:v>Review: same as English</x:v>
      </x:c>
      <x:c r="I104" s="27" t="str"/>
    </x:row>
    <x:row r="105" ht="34" customHeight="1">
      <x:c r="A105" s="25" t="n">
        <x:v>13</x:v>
      </x:c>
      <x:c r="B105" s="25" t="str">
        <x:v>options[0]</x:v>
      </x:c>
      <x:c r="C105" s="25" t="str">
        <x:v>Answer option 1 | Payroll, Claims and Employee Records</x:v>
      </x:c>
      <x:c r="D105" s="25" t="str">
        <x:v>A. Notify HR of changes to personal information within seven calendar days.</x:v>
      </x:c>
      <x:c r="E105" s="27" t="str">
        <x:v>A. Notify HR of changes to personal information within seven calendar days.</x:v>
      </x:c>
      <x:c r="F105" s="25" t="str">
        <x:f>IF(ISNUMBER(SEARCH("Legacy translation mismatch",$I105)),"Review: legacy mismatch",IF(E105="","Missing",IF(TRIM(E105)=TRIM(D105),"Review: same as English","Translated")))</x:f>
        <x:v>Review: same as English</x:v>
      </x:c>
      <x:c r="G105" s="27" t="str">
        <x:v>A. Notify HR of changes to personal information within seven calendar days.</x:v>
      </x:c>
      <x:c r="H105" s="25" t="str">
        <x:f>IF(ISNUMBER(SEARCH("Legacy translation mismatch",$I105)),"Review: legacy mismatch",IF(G105="","Missing",IF(TRIM(G105)=TRIM(D105),"Review: same as English","Translated")))</x:f>
        <x:v>Review: same as English</x:v>
      </x:c>
      <x:c r="I105" s="27" t="str"/>
    </x:row>
    <x:row r="106" ht="34" customHeight="1">
      <x:c r="A106" s="25" t="n">
        <x:v>13</x:v>
      </x:c>
      <x:c r="B106" s="25" t="str">
        <x:v>options[1]</x:v>
      </x:c>
      <x:c r="C106" s="25" t="str">
        <x:v>Answer option 2 | Payroll, Claims and Employee Records</x:v>
      </x:c>
      <x:c r="D106" s="25" t="str">
        <x:v>B. Wait until the next annual review to update bank details.</x:v>
      </x:c>
      <x:c r="E106" s="27" t="str">
        <x:v>B. Wait until the next annual review to update bank details.</x:v>
      </x:c>
      <x:c r="F106" s="25" t="str">
        <x:f>IF(ISNUMBER(SEARCH("Legacy translation mismatch",$I106)),"Review: legacy mismatch",IF(E106="","Missing",IF(TRIM(E106)=TRIM(D106),"Review: same as English","Translated")))</x:f>
        <x:v>Review: same as English</x:v>
      </x:c>
      <x:c r="G106" s="27" t="str">
        <x:v>B. Wait until the next annual review to update bank details.</x:v>
      </x:c>
      <x:c r="H106" s="25" t="str">
        <x:f>IF(ISNUMBER(SEARCH("Legacy translation mismatch",$I106)),"Review: legacy mismatch",IF(G106="","Missing",IF(TRIM(G106)=TRIM(D106),"Review: same as English","Translated")))</x:f>
        <x:v>Review: same as English</x:v>
      </x:c>
      <x:c r="I106" s="27" t="str"/>
    </x:row>
    <x:row r="107" ht="34" customHeight="1">
      <x:c r="A107" s="25" t="n">
        <x:v>13</x:v>
      </x:c>
      <x:c r="B107" s="25" t="str">
        <x:v>options[2]</x:v>
      </x:c>
      <x:c r="C107" s="25" t="str">
        <x:v>Answer option 3 | Payroll, Claims and Employee Records</x:v>
      </x:c>
      <x:c r="D107" s="25" t="str">
        <x:v>C. Ensure bank account details are accurate and up to date.</x:v>
      </x:c>
      <x:c r="E107" s="27" t="str">
        <x:v>C. Ensure bank account details are accurate and up to date.</x:v>
      </x:c>
      <x:c r="F107" s="25" t="str">
        <x:f>IF(ISNUMBER(SEARCH("Legacy translation mismatch",$I107)),"Review: legacy mismatch",IF(E107="","Missing",IF(TRIM(E107)=TRIM(D107),"Review: same as English","Translated")))</x:f>
        <x:v>Review: same as English</x:v>
      </x:c>
      <x:c r="G107" s="27" t="str">
        <x:v>C. Ensure bank account details are accurate and up to date.</x:v>
      </x:c>
      <x:c r="H107" s="25" t="str">
        <x:f>IF(ISNUMBER(SEARCH("Legacy translation mismatch",$I107)),"Review: legacy mismatch",IF(G107="","Missing",IF(TRIM(G107)=TRIM(D107),"Review: same as English","Translated")))</x:f>
        <x:v>Review: same as English</x:v>
      </x:c>
      <x:c r="I107" s="27" t="str"/>
    </x:row>
    <x:row r="108" ht="34" customHeight="1">
      <x:c r="A108" s="25" t="n">
        <x:v>13</x:v>
      </x:c>
      <x:c r="B108" s="25" t="str">
        <x:v>options[3]</x:v>
      </x:c>
      <x:c r="C108" s="25" t="str">
        <x:v>Answer option 4 | Payroll, Claims and Employee Records</x:v>
      </x:c>
      <x:c r="D108" s="25" t="str">
        <x:v>D. Report a payslip discrepancy within seven calendar days from the payment date.</x:v>
      </x:c>
      <x:c r="E108" s="27" t="str">
        <x:v>D. Report a payslip discrepancy within seven calendar days from the payment date.</x:v>
      </x:c>
      <x:c r="F108" s="25" t="str">
        <x:f>IF(ISNUMBER(SEARCH("Legacy translation mismatch",$I108)),"Review: legacy mismatch",IF(E108="","Missing",IF(TRIM(E108)=TRIM(D108),"Review: same as English","Translated")))</x:f>
        <x:v>Review: same as English</x:v>
      </x:c>
      <x:c r="G108" s="27" t="str">
        <x:v>D. Report a payslip discrepancy within seven calendar days from the payment date.</x:v>
      </x:c>
      <x:c r="H108" s="25" t="str">
        <x:f>IF(ISNUMBER(SEARCH("Legacy translation mismatch",$I108)),"Review: legacy mismatch",IF(G108="","Missing",IF(TRIM(G108)=TRIM(D108),"Review: same as English","Translated")))</x:f>
        <x:v>Review: same as English</x:v>
      </x:c>
      <x:c r="I108" s="27" t="str"/>
    </x:row>
    <x:row r="109" ht="34" customHeight="1">
      <x:c r="A109" s="25" t="n">
        <x:v>13</x:v>
      </x:c>
      <x:c r="B109" s="25" t="str">
        <x:v>options[4]</x:v>
      </x:c>
      <x:c r="C109" s="25" t="str">
        <x:v>Answer option 5 | Payroll, Claims and Employee Records</x:v>
      </x:c>
      <x:c r="D109" s="25" t="str">
        <x:v>E. HR may never request supporting documents for personal-information updates.</x:v>
      </x:c>
      <x:c r="E109" s="27" t="str">
        <x:v>E. HR may never request supporting documents for personal-information updates.</x:v>
      </x:c>
      <x:c r="F109" s="25" t="str">
        <x:f>IF(ISNUMBER(SEARCH("Legacy translation mismatch",$I109)),"Review: legacy mismatch",IF(E109="","Missing",IF(TRIM(E109)=TRIM(D109),"Review: same as English","Translated")))</x:f>
        <x:v>Review: same as English</x:v>
      </x:c>
      <x:c r="G109" s="27" t="str">
        <x:v>E. HR may never request supporting documents for personal-information updates.</x:v>
      </x:c>
      <x:c r="H109" s="25" t="str">
        <x:f>IF(ISNUMBER(SEARCH("Legacy translation mismatch",$I109)),"Review: legacy mismatch",IF(G109="","Missing",IF(TRIM(G109)=TRIM(D109),"Review: same as English","Translated")))</x:f>
        <x:v>Review: same as English</x:v>
      </x:c>
      <x:c r="I109" s="27" t="str"/>
    </x:row>
    <x:row r="110" ht="90" customHeight="1">
      <x:c r="A110" s="25" t="n">
        <x:v>13</x:v>
      </x:c>
      <x:c r="B110" s="25" t="str">
        <x:v>explanation</x:v>
      </x:c>
      <x:c r="C110" s="25" t="str">
        <x:v>Answer explanation | Payroll, Claims and Employee Records</x:v>
      </x:c>
      <x:c r="D110" s="25" t="str">
        <x:v>Employees must notify HR of personal-information changes within seven calendar days, keep bank details current and report payslip discrepancies within seven calendar days from payment. HR may request verification documents.</x:v>
      </x:c>
      <x:c r="E110" s="27" t="str">
        <x:v>Employees must notify HR of personal-information changes within seven calendar days, keep bank details current and report payslip discrepancies within seven calendar days from payment. HR may request verification documents.</x:v>
      </x:c>
      <x:c r="F110" s="25" t="str">
        <x:f>IF(ISNUMBER(SEARCH("Legacy translation mismatch",$I110)),"Review: legacy mismatch",IF(E110="","Missing",IF(TRIM(E110)=TRIM(D110),"Review: same as English","Translated")))</x:f>
        <x:v>Review: same as English</x:v>
      </x:c>
      <x:c r="G110" s="27" t="str">
        <x:v>Employees must notify HR of personal-information changes within seven calendar days, keep bank details current and report payslip discrepancies within seven calendar days from payment. HR may request verification documents.</x:v>
      </x:c>
      <x:c r="H110" s="25" t="str">
        <x:f>IF(ISNUMBER(SEARCH("Legacy translation mismatch",$I110)),"Review: legacy mismatch",IF(G110="","Missing",IF(TRIM(G110)=TRIM(D110),"Review: same as English","Translated")))</x:f>
        <x:v>Review: same as English</x:v>
      </x:c>
      <x:c r="I110" s="27" t="str"/>
    </x:row>
    <x:row r="111" ht="34" customHeight="1">
      <x:c r="A111" s="25" t="n">
        <x:v>13</x:v>
      </x:c>
      <x:c r="B111" s="25" t="str">
        <x:v>handbookSource</x:v>
      </x:c>
      <x:c r="C111" s="25" t="str">
        <x:v>Handbook source citation | Payroll, Claims and Employee Records</x:v>
      </x:c>
      <x:c r="D111" s="25" t="str">
        <x:v>Part 2, Employee Records (PDF p. 8); Part 6, Payroll Policy (PDF pp. 30-31)</x:v>
      </x:c>
      <x:c r="E111" s="27" t="str">
        <x:v>Part 2, Employee Records (PDF p. 8); Part 6, Payroll Policy (PDF pp. 30-31)</x:v>
      </x:c>
      <x:c r="F111" s="25" t="str">
        <x:f>IF(ISNUMBER(SEARCH("Legacy translation mismatch",$I111)),"Review: legacy mismatch",IF(E111="","Missing",IF(TRIM(E111)=TRIM(D111),"Review: same as English","Translated")))</x:f>
        <x:v>Review: same as English</x:v>
      </x:c>
      <x:c r="G111" s="27" t="str">
        <x:v>Part 2, Employee Records (PDF p. 8); Part 6, Payroll Policy (PDF pp. 30-31)</x:v>
      </x:c>
      <x:c r="H111" s="25" t="str">
        <x:f>IF(ISNUMBER(SEARCH("Legacy translation mismatch",$I111)),"Review: legacy mismatch",IF(G111="","Missing",IF(TRIM(G111)=TRIM(D111),"Review: same as English","Translated")))</x:f>
        <x:v>Review: same as English</x:v>
      </x:c>
      <x:c r="I111" s="27" t="str"/>
    </x:row>
    <x:row r="112" ht="48" customHeight="1">
      <x:c r="A112" s="25" t="n">
        <x:v>14</x:v>
      </x:c>
      <x:c r="B112" s="25" t="str">
        <x:v>question</x:v>
      </x:c>
      <x:c r="C112" s="25" t="str">
        <x:v>Question text | IT, Cybersecurity, AI, Confidentiality and PDPA</x:v>
      </x:c>
      <x:c r="D112" s="25" t="str">
        <x:v>You receive an unexpected email asking you to open a link and sign in to a Company account. What should you do?</x:v>
      </x:c>
      <x:c r="E112" s="27" t="str">
        <x:v>You receive an unexpected email asking you to open a link and sign in to a Company account. What should you do?</x:v>
      </x:c>
      <x:c r="F112" s="25" t="str">
        <x:f>IF(ISNUMBER(SEARCH("Legacy translation mismatch",$I112)),"Review: legacy mismatch",IF(E112="","Missing",IF(TRIM(E112)=TRIM(D112),"Review: same as English","Translated")))</x:f>
        <x:v>Review: same as English</x:v>
      </x:c>
      <x:c r="G112" s="27" t="str">
        <x:v>You receive an unexpected email asking you to open a link and sign in to a Company account. What should you do?</x:v>
      </x:c>
      <x:c r="H112" s="25" t="str">
        <x:f>IF(ISNUMBER(SEARCH("Legacy translation mismatch",$I112)),"Review: legacy mismatch",IF(G112="","Missing",IF(TRIM(G112)=TRIM(D112),"Review: same as English","Translated")))</x:f>
        <x:v>Review: same as English</x:v>
      </x:c>
      <x:c r="I112" s="27" t="str">
        <x:v>Question translation is not currently provided.</x:v>
      </x:c>
    </x:row>
    <x:row r="113" ht="34" customHeight="1">
      <x:c r="A113" s="25" t="n">
        <x:v>14</x:v>
      </x:c>
      <x:c r="B113" s="25" t="str">
        <x:v>category</x:v>
      </x:c>
      <x:c r="C113" s="25" t="str">
        <x:v>Category label | IT, Cybersecurity, AI, Confidentiality and PDPA</x:v>
      </x:c>
      <x:c r="D113" s="25" t="str">
        <x:v>IT, Cybersecurity, AI, Confidentiality and PDPA</x:v>
      </x:c>
      <x:c r="E113" s="27" t="str">
        <x:v>IT, Cybersecurity, AI, Confidentiality and PDPA</x:v>
      </x:c>
      <x:c r="F113" s="25" t="str">
        <x:f>IF(ISNUMBER(SEARCH("Legacy translation mismatch",$I113)),"Review: legacy mismatch",IF(E113="","Missing",IF(TRIM(E113)=TRIM(D113),"Review: same as English","Translated")))</x:f>
        <x:v>Review: same as English</x:v>
      </x:c>
      <x:c r="G113" s="27" t="str">
        <x:v>IT, Cybersecurity, AI, Confidentiality and PDPA</x:v>
      </x:c>
      <x:c r="H113" s="25" t="str">
        <x:f>IF(ISNUMBER(SEARCH("Legacy translation mismatch",$I113)),"Review: legacy mismatch",IF(G113="","Missing",IF(TRIM(G113)=TRIM(D113),"Review: same as English","Translated")))</x:f>
        <x:v>Review: same as English</x:v>
      </x:c>
      <x:c r="I113" s="27" t="str"/>
    </x:row>
    <x:row r="114" ht="34" customHeight="1">
      <x:c r="A114" s="25" t="n">
        <x:v>14</x:v>
      </x:c>
      <x:c r="B114" s="25" t="str">
        <x:v>options[0]</x:v>
      </x:c>
      <x:c r="C114" s="25" t="str">
        <x:v>Answer option 1 | IT, Cybersecurity, AI, Confidentiality and PDPA</x:v>
      </x:c>
      <x:c r="D114" s="25" t="str">
        <x:v>A. Open the link on a personal phone to test it.</x:v>
      </x:c>
      <x:c r="E114" s="27" t="str">
        <x:v>A. Open the link on a personal phone to test it.</x:v>
      </x:c>
      <x:c r="F114" s="25" t="str">
        <x:f>IF(ISNUMBER(SEARCH("Legacy translation mismatch",$I114)),"Review: legacy mismatch",IF(E114="","Missing",IF(TRIM(E114)=TRIM(D114),"Review: same as English","Translated")))</x:f>
        <x:v>Review: same as English</x:v>
      </x:c>
      <x:c r="G114" s="27" t="str">
        <x:v>A. Open the link on a personal phone to test it.</x:v>
      </x:c>
      <x:c r="H114" s="25" t="str">
        <x:f>IF(ISNUMBER(SEARCH("Legacy translation mismatch",$I114)),"Review: legacy mismatch",IF(G114="","Missing",IF(TRIM(G114)=TRIM(D114),"Review: same as English","Translated")))</x:f>
        <x:v>Review: same as English</x:v>
      </x:c>
      <x:c r="I114" s="27" t="str"/>
    </x:row>
    <x:row r="115" ht="34" customHeight="1">
      <x:c r="A115" s="25" t="n">
        <x:v>14</x:v>
      </x:c>
      <x:c r="B115" s="25" t="str">
        <x:v>options[1]</x:v>
      </x:c>
      <x:c r="C115" s="25" t="str">
        <x:v>Answer option 2 | IT, Cybersecurity, AI, Confidentiality and PDPA</x:v>
      </x:c>
      <x:c r="D115" s="25" t="str">
        <x:v>B. Forward it to colleagues to ask whether it is genuine.</x:v>
      </x:c>
      <x:c r="E115" s="27" t="str">
        <x:v>B. Forward it to colleagues to ask whether it is genuine.</x:v>
      </x:c>
      <x:c r="F115" s="25" t="str">
        <x:f>IF(ISNUMBER(SEARCH("Legacy translation mismatch",$I115)),"Review: legacy mismatch",IF(E115="","Missing",IF(TRIM(E115)=TRIM(D115),"Review: same as English","Translated")))</x:f>
        <x:v>Review: same as English</x:v>
      </x:c>
      <x:c r="G115" s="27" t="str">
        <x:v>B. Forward it to colleagues to ask whether it is genuine.</x:v>
      </x:c>
      <x:c r="H115" s="25" t="str">
        <x:f>IF(ISNUMBER(SEARCH("Legacy translation mismatch",$I115)),"Review: legacy mismatch",IF(G115="","Missing",IF(TRIM(G115)=TRIM(D115),"Review: same as English","Translated")))</x:f>
        <x:v>Review: same as English</x:v>
      </x:c>
      <x:c r="I115" s="27" t="str"/>
    </x:row>
    <x:row r="116" ht="48" customHeight="1">
      <x:c r="A116" s="25" t="n">
        <x:v>14</x:v>
      </x:c>
      <x:c r="B116" s="25" t="str">
        <x:v>options[2]</x:v>
      </x:c>
      <x:c r="C116" s="25" t="str">
        <x:v>Answer option 3 | IT, Cybersecurity, AI, Confidentiality and PDPA</x:v>
      </x:c>
      <x:c r="D116" s="25" t="str">
        <x:v>C. Do not click the link and report the suspicious activity immediately to Management or the designated IT representative.</x:v>
      </x:c>
      <x:c r="E116" s="27" t="str">
        <x:v>C. Do not click the link and report the suspicious activity immediately to Management or the designated IT representative.</x:v>
      </x:c>
      <x:c r="F116" s="25" t="str">
        <x:f>IF(ISNUMBER(SEARCH("Legacy translation mismatch",$I116)),"Review: legacy mismatch",IF(E116="","Missing",IF(TRIM(E116)=TRIM(D116),"Review: same as English","Translated")))</x:f>
        <x:v>Review: same as English</x:v>
      </x:c>
      <x:c r="G116" s="27" t="str">
        <x:v>C. Do not click the link and report the suspicious activity immediately to Management or the designated IT representative.</x:v>
      </x:c>
      <x:c r="H116" s="25" t="str">
        <x:f>IF(ISNUMBER(SEARCH("Legacy translation mismatch",$I116)),"Review: legacy mismatch",IF(G116="","Missing",IF(TRIM(G116)=TRIM(D116),"Review: same as English","Translated")))</x:f>
        <x:v>Review: same as English</x:v>
      </x:c>
      <x:c r="I116" s="27" t="str"/>
    </x:row>
    <x:row r="117" ht="34" customHeight="1">
      <x:c r="A117" s="25" t="n">
        <x:v>14</x:v>
      </x:c>
      <x:c r="B117" s="25" t="str">
        <x:v>options[3]</x:v>
      </x:c>
      <x:c r="C117" s="25" t="str">
        <x:v>Answer option 4 | IT, Cybersecurity, AI, Confidentiality and PDPA</x:v>
      </x:c>
      <x:c r="D117" s="25" t="str">
        <x:v>D. Reply to the sender and request the password-reset details.</x:v>
      </x:c>
      <x:c r="E117" s="27" t="str">
        <x:v>D. Reply to the sender and request the password-reset details.</x:v>
      </x:c>
      <x:c r="F117" s="25" t="str">
        <x:f>IF(ISNUMBER(SEARCH("Legacy translation mismatch",$I117)),"Review: legacy mismatch",IF(E117="","Missing",IF(TRIM(E117)=TRIM(D117),"Review: same as English","Translated")))</x:f>
        <x:v>Review: same as English</x:v>
      </x:c>
      <x:c r="G117" s="27" t="str">
        <x:v>D. Reply to the sender and request the password-reset details.</x:v>
      </x:c>
      <x:c r="H117" s="25" t="str">
        <x:f>IF(ISNUMBER(SEARCH("Legacy translation mismatch",$I117)),"Review: legacy mismatch",IF(G117="","Missing",IF(TRIM(G117)=TRIM(D117),"Review: same as English","Translated")))</x:f>
        <x:v>Review: same as English</x:v>
      </x:c>
      <x:c r="I117" s="27" t="str"/>
    </x:row>
    <x:row r="118" ht="62" customHeight="1">
      <x:c r="A118" s="25" t="n">
        <x:v>14</x:v>
      </x:c>
      <x:c r="B118" s="25" t="str">
        <x:v>explanation</x:v>
      </x:c>
      <x:c r="C118" s="25" t="str">
        <x:v>Answer explanation | IT, Cybersecurity, AI, Confidentiality and PDPA</x:v>
      </x:c>
      <x:c r="D118" s="25" t="str">
        <x:v>Employees must not click suspicious links and must report suspected cyber incidents immediately to Management or the designated IT representative.</x:v>
      </x:c>
      <x:c r="E118" s="27" t="str">
        <x:v>Employees must not click suspicious links and must report suspected cyber incidents immediately to Management or the designated IT representative.</x:v>
      </x:c>
      <x:c r="F118" s="25" t="str">
        <x:f>IF(ISNUMBER(SEARCH("Legacy translation mismatch",$I118)),"Review: legacy mismatch",IF(E118="","Missing",IF(TRIM(E118)=TRIM(D118),"Review: same as English","Translated")))</x:f>
        <x:v>Review: same as English</x:v>
      </x:c>
      <x:c r="G118" s="27" t="str">
        <x:v>Employees must not click suspicious links and must report suspected cyber incidents immediately to Management or the designated IT representative.</x:v>
      </x:c>
      <x:c r="H118" s="25" t="str">
        <x:f>IF(ISNUMBER(SEARCH("Legacy translation mismatch",$I118)),"Review: legacy mismatch",IF(G118="","Missing",IF(TRIM(G118)=TRIM(D118),"Review: same as English","Translated")))</x:f>
        <x:v>Review: same as English</x:v>
      </x:c>
      <x:c r="I118" s="27" t="str"/>
    </x:row>
    <x:row r="119" ht="34" customHeight="1">
      <x:c r="A119" s="25" t="n">
        <x:v>14</x:v>
      </x:c>
      <x:c r="B119" s="25" t="str">
        <x:v>handbookSource</x:v>
      </x:c>
      <x:c r="C119" s="25" t="str">
        <x:v>Handbook source citation | IT, Cybersecurity, AI, Confidentiality and PDPA</x:v>
      </x:c>
      <x:c r="D119" s="25" t="str">
        <x:v>Part 10, Cybersecurity Policy (PDF p. 61)</x:v>
      </x:c>
      <x:c r="E119" s="27" t="str">
        <x:v>Part 10, Cybersecurity Policy (PDF p. 61)</x:v>
      </x:c>
      <x:c r="F119" s="25" t="str">
        <x:f>IF(ISNUMBER(SEARCH("Legacy translation mismatch",$I119)),"Review: legacy mismatch",IF(E119="","Missing",IF(TRIM(E119)=TRIM(D119),"Review: same as English","Translated")))</x:f>
        <x:v>Review: same as English</x:v>
      </x:c>
      <x:c r="G119" s="27" t="str">
        <x:v>Part 10, Cybersecurity Policy (PDF p. 61)</x:v>
      </x:c>
      <x:c r="H119" s="25" t="str">
        <x:f>IF(ISNUMBER(SEARCH("Legacy translation mismatch",$I119)),"Review: legacy mismatch",IF(G119="","Missing",IF(TRIM(G119)=TRIM(D119),"Review: same as English","Translated")))</x:f>
        <x:v>Review: same as English</x:v>
      </x:c>
      <x:c r="I119" s="27" t="str"/>
    </x:row>
    <x:row r="120" ht="48" customHeight="1">
      <x:c r="A120" s="25" t="n">
        <x:v>15</x:v>
      </x:c>
      <x:c r="B120" s="25" t="str">
        <x:v>question</x:v>
      </x:c>
      <x:c r="C120" s="25" t="str">
        <x:v>Question text | IT, Cybersecurity, AI, Confidentiality and PDPA</x:v>
      </x:c>
      <x:c r="D120" s="25" t="str">
        <x:v>When using a personal device for work, which security actions apply? Select all that apply.</x:v>
      </x:c>
      <x:c r="E120" s="27" t="str">
        <x:v>When using a personal device for work, which security actions apply? Select all that apply.</x:v>
      </x:c>
      <x:c r="F120" s="25" t="str">
        <x:f>IF(ISNUMBER(SEARCH("Legacy translation mismatch",$I120)),"Review: legacy mismatch",IF(E120="","Missing",IF(TRIM(E120)=TRIM(D120),"Review: same as English","Translated")))</x:f>
        <x:v>Review: same as English</x:v>
      </x:c>
      <x:c r="G120" s="27" t="str">
        <x:v>When using a personal device for work, which security actions apply? Select all that apply.</x:v>
      </x:c>
      <x:c r="H120" s="25" t="str">
        <x:f>IF(ISNUMBER(SEARCH("Legacy translation mismatch",$I120)),"Review: legacy mismatch",IF(G120="","Missing",IF(TRIM(G120)=TRIM(D120),"Review: same as English","Translated")))</x:f>
        <x:v>Review: same as English</x:v>
      </x:c>
      <x:c r="I120" s="27" t="str">
        <x:v>Question translation is not currently provided.</x:v>
      </x:c>
    </x:row>
    <x:row r="121" ht="34" customHeight="1">
      <x:c r="A121" s="25" t="n">
        <x:v>15</x:v>
      </x:c>
      <x:c r="B121" s="25" t="str">
        <x:v>category</x:v>
      </x:c>
      <x:c r="C121" s="25" t="str">
        <x:v>Category label | IT, Cybersecurity, AI, Confidentiality and PDPA</x:v>
      </x:c>
      <x:c r="D121" s="25" t="str">
        <x:v>IT, Cybersecurity, AI, Confidentiality and PDPA</x:v>
      </x:c>
      <x:c r="E121" s="27" t="str">
        <x:v>IT, Cybersecurity, AI, Confidentiality and PDPA</x:v>
      </x:c>
      <x:c r="F121" s="25" t="str">
        <x:f>IF(ISNUMBER(SEARCH("Legacy translation mismatch",$I121)),"Review: legacy mismatch",IF(E121="","Missing",IF(TRIM(E121)=TRIM(D121),"Review: same as English","Translated")))</x:f>
        <x:v>Review: same as English</x:v>
      </x:c>
      <x:c r="G121" s="27" t="str">
        <x:v>IT, Cybersecurity, AI, Confidentiality and PDPA</x:v>
      </x:c>
      <x:c r="H121" s="25" t="str">
        <x:f>IF(ISNUMBER(SEARCH("Legacy translation mismatch",$I121)),"Review: legacy mismatch",IF(G121="","Missing",IF(TRIM(G121)=TRIM(D121),"Review: same as English","Translated")))</x:f>
        <x:v>Review: same as English</x:v>
      </x:c>
      <x:c r="I121" s="27" t="str"/>
    </x:row>
    <x:row r="122" ht="34" customHeight="1">
      <x:c r="A122" s="25" t="n">
        <x:v>15</x:v>
      </x:c>
      <x:c r="B122" s="25" t="str">
        <x:v>options[0]</x:v>
      </x:c>
      <x:c r="C122" s="25" t="str">
        <x:v>Answer option 1 | IT, Cybersecurity, AI, Confidentiality and PDPA</x:v>
      </x:c>
      <x:c r="D122" s="25" t="str">
        <x:v>A. Obtain Company approval for BYOD use.</x:v>
      </x:c>
      <x:c r="E122" s="27" t="str">
        <x:v>A. Obtain Company approval for BYOD use.</x:v>
      </x:c>
      <x:c r="F122" s="25" t="str">
        <x:f>IF(ISNUMBER(SEARCH("Legacy translation mismatch",$I122)),"Review: legacy mismatch",IF(E122="","Missing",IF(TRIM(E122)=TRIM(D122),"Review: same as English","Translated")))</x:f>
        <x:v>Review: same as English</x:v>
      </x:c>
      <x:c r="G122" s="27" t="str">
        <x:v>A. Obtain Company approval for BYOD use.</x:v>
      </x:c>
      <x:c r="H122" s="25" t="str">
        <x:f>IF(ISNUMBER(SEARCH("Legacy translation mismatch",$I122)),"Review: legacy mismatch",IF(G122="","Missing",IF(TRIM(G122)=TRIM(D122),"Review: same as English","Translated")))</x:f>
        <x:v>Review: same as English</x:v>
      </x:c>
      <x:c r="I122" s="27" t="str"/>
    </x:row>
    <x:row r="123" ht="34" customHeight="1">
      <x:c r="A123" s="25" t="n">
        <x:v>15</x:v>
      </x:c>
      <x:c r="B123" s="25" t="str">
        <x:v>options[1]</x:v>
      </x:c>
      <x:c r="C123" s="25" t="str">
        <x:v>Answer option 2 | IT, Cybersecurity, AI, Confidentiality and PDPA</x:v>
      </x:c>
      <x:c r="D123" s="25" t="str">
        <x:v>B. Use password protection and screen lock.</x:v>
      </x:c>
      <x:c r="E123" s="27" t="str">
        <x:v>B. Use password protection and screen lock.</x:v>
      </x:c>
      <x:c r="F123" s="25" t="str">
        <x:f>IF(ISNUMBER(SEARCH("Legacy translation mismatch",$I123)),"Review: legacy mismatch",IF(E123="","Missing",IF(TRIM(E123)=TRIM(D123),"Review: same as English","Translated")))</x:f>
        <x:v>Review: same as English</x:v>
      </x:c>
      <x:c r="G123" s="27" t="str">
        <x:v>B. Use password protection and screen lock.</x:v>
      </x:c>
      <x:c r="H123" s="25" t="str">
        <x:f>IF(ISNUMBER(SEARCH("Legacy translation mismatch",$I123)),"Review: legacy mismatch",IF(G123="","Missing",IF(TRIM(G123)=TRIM(D123),"Review: same as English","Translated")))</x:f>
        <x:v>Review: same as English</x:v>
      </x:c>
      <x:c r="I123" s="27" t="str"/>
    </x:row>
    <x:row r="124" ht="34" customHeight="1">
      <x:c r="A124" s="25" t="n">
        <x:v>15</x:v>
      </x:c>
      <x:c r="B124" s="25" t="str">
        <x:v>options[2]</x:v>
      </x:c>
      <x:c r="C124" s="25" t="str">
        <x:v>Answer option 3 | IT, Cybersecurity, AI, Confidentiality and PDPA</x:v>
      </x:c>
      <x:c r="D124" s="25" t="str">
        <x:v>C. Install software updates.</x:v>
      </x:c>
      <x:c r="E124" s="27" t="str">
        <x:v>C. Install software updates.</x:v>
      </x:c>
      <x:c r="F124" s="25" t="str">
        <x:f>IF(ISNUMBER(SEARCH("Legacy translation mismatch",$I124)),"Review: legacy mismatch",IF(E124="","Missing",IF(TRIM(E124)=TRIM(D124),"Review: same as English","Translated")))</x:f>
        <x:v>Review: same as English</x:v>
      </x:c>
      <x:c r="G124" s="27" t="str">
        <x:v>C. Install software updates.</x:v>
      </x:c>
      <x:c r="H124" s="25" t="str">
        <x:f>IF(ISNUMBER(SEARCH("Legacy translation mismatch",$I124)),"Review: legacy mismatch",IF(G124="","Missing",IF(TRIM(G124)=TRIM(D124),"Review: same as English","Translated")))</x:f>
        <x:v>Review: same as English</x:v>
      </x:c>
      <x:c r="I124" s="27" t="str"/>
    </x:row>
    <x:row r="125" ht="34" customHeight="1">
      <x:c r="A125" s="25" t="n">
        <x:v>15</x:v>
      </x:c>
      <x:c r="B125" s="25" t="str">
        <x:v>options[3]</x:v>
      </x:c>
      <x:c r="C125" s="25" t="str">
        <x:v>Answer option 4 | IT, Cybersecurity, AI, Confidentiality and PDPA</x:v>
      </x:c>
      <x:c r="D125" s="25" t="str">
        <x:v>D. Use MFA where available and report a lost or stolen device immediately.</x:v>
      </x:c>
      <x:c r="E125" s="27" t="str">
        <x:v>D. Use MFA where available and report a lost or stolen device immediately.</x:v>
      </x:c>
      <x:c r="F125" s="25" t="str">
        <x:f>IF(ISNUMBER(SEARCH("Legacy translation mismatch",$I125)),"Review: legacy mismatch",IF(E125="","Missing",IF(TRIM(E125)=TRIM(D125),"Review: same as English","Translated")))</x:f>
        <x:v>Review: same as English</x:v>
      </x:c>
      <x:c r="G125" s="27" t="str">
        <x:v>D. Use MFA where available and report a lost or stolen device immediately.</x:v>
      </x:c>
      <x:c r="H125" s="25" t="str">
        <x:f>IF(ISNUMBER(SEARCH("Legacy translation mismatch",$I125)),"Review: legacy mismatch",IF(G125="","Missing",IF(TRIM(G125)=TRIM(D125),"Review: same as English","Translated")))</x:f>
        <x:v>Review: same as English</x:v>
      </x:c>
      <x:c r="I125" s="27" t="str"/>
    </x:row>
    <x:row r="126" ht="34" customHeight="1">
      <x:c r="A126" s="25" t="n">
        <x:v>15</x:v>
      </x:c>
      <x:c r="B126" s="25" t="str">
        <x:v>options[4]</x:v>
      </x:c>
      <x:c r="C126" s="25" t="str">
        <x:v>Answer option 5 | IT, Cybersecurity, AI, Confidentiality and PDPA</x:v>
      </x:c>
      <x:c r="D126" s="25" t="str">
        <x:v>E. Store confidential information without approval if the device is encrypted.</x:v>
      </x:c>
      <x:c r="E126" s="27" t="str">
        <x:v>E. Store confidential information without approval if the device is encrypted.</x:v>
      </x:c>
      <x:c r="F126" s="25" t="str">
        <x:f>IF(ISNUMBER(SEARCH("Legacy translation mismatch",$I126)),"Review: legacy mismatch",IF(E126="","Missing",IF(TRIM(E126)=TRIM(D126),"Review: same as English","Translated")))</x:f>
        <x:v>Review: same as English</x:v>
      </x:c>
      <x:c r="G126" s="27" t="str">
        <x:v>E. Store confidential information without approval if the device is encrypted.</x:v>
      </x:c>
      <x:c r="H126" s="25" t="str">
        <x:f>IF(ISNUMBER(SEARCH("Legacy translation mismatch",$I126)),"Review: legacy mismatch",IF(G126="","Missing",IF(TRIM(G126)=TRIM(D126),"Review: same as English","Translated")))</x:f>
        <x:v>Review: same as English</x:v>
      </x:c>
      <x:c r="I126" s="27" t="str"/>
    </x:row>
    <x:row r="127" ht="76" customHeight="1">
      <x:c r="A127" s="25" t="n">
        <x:v>15</x:v>
      </x:c>
      <x:c r="B127" s="25" t="str">
        <x:v>explanation</x:v>
      </x:c>
      <x:c r="C127" s="25" t="str">
        <x:v>Answer explanation | IT, Cybersecurity, AI, Confidentiality and PDPA</x:v>
      </x:c>
      <x:c r="D127" s="25" t="str">
        <x:v>BYOD use is subject to approval. Personal work devices must be protected, updated and reported immediately if lost or stolen. Confidential information must not be stored without approval.</x:v>
      </x:c>
      <x:c r="E127" s="27" t="str">
        <x:v>BYOD use is subject to approval. Personal work devices must be protected, updated and reported immediately if lost or stolen. Confidential information must not be stored without approval.</x:v>
      </x:c>
      <x:c r="F127" s="25" t="str">
        <x:f>IF(ISNUMBER(SEARCH("Legacy translation mismatch",$I127)),"Review: legacy mismatch",IF(E127="","Missing",IF(TRIM(E127)=TRIM(D127),"Review: same as English","Translated")))</x:f>
        <x:v>Review: same as English</x:v>
      </x:c>
      <x:c r="G127" s="27" t="str">
        <x:v>BYOD use is subject to approval. Personal work devices must be protected, updated and reported immediately if lost or stolen. Confidential information must not be stored without approval.</x:v>
      </x:c>
      <x:c r="H127" s="25" t="str">
        <x:f>IF(ISNUMBER(SEARCH("Legacy translation mismatch",$I127)),"Review: legacy mismatch",IF(G127="","Missing",IF(TRIM(G127)=TRIM(D127),"Review: same as English","Translated")))</x:f>
        <x:v>Review: same as English</x:v>
      </x:c>
      <x:c r="I127" s="27" t="str"/>
    </x:row>
    <x:row r="128" ht="34" customHeight="1">
      <x:c r="A128" s="25" t="n">
        <x:v>15</x:v>
      </x:c>
      <x:c r="B128" s="25" t="str">
        <x:v>handbookSource</x:v>
      </x:c>
      <x:c r="C128" s="25" t="str">
        <x:v>Handbook source citation | IT, Cybersecurity, AI, Confidentiality and PDPA</x:v>
      </x:c>
      <x:c r="D128" s="25" t="str">
        <x:v>Part 10, BYOD and Password Management Policies (PDF pp. 60-61)</x:v>
      </x:c>
      <x:c r="E128" s="27" t="str">
        <x:v>Part 10, BYOD and Password Management Policies (PDF pp. 60-61)</x:v>
      </x:c>
      <x:c r="F128" s="25" t="str">
        <x:f>IF(ISNUMBER(SEARCH("Legacy translation mismatch",$I128)),"Review: legacy mismatch",IF(E128="","Missing",IF(TRIM(E128)=TRIM(D128),"Review: same as English","Translated")))</x:f>
        <x:v>Review: same as English</x:v>
      </x:c>
      <x:c r="G128" s="27" t="str">
        <x:v>Part 10, BYOD and Password Management Policies (PDF pp. 60-61)</x:v>
      </x:c>
      <x:c r="H128" s="25" t="str">
        <x:f>IF(ISNUMBER(SEARCH("Legacy translation mismatch",$I128)),"Review: legacy mismatch",IF(G128="","Missing",IF(TRIM(G128)=TRIM(D128),"Review: same as English","Translated")))</x:f>
        <x:v>Review: same as English</x:v>
      </x:c>
      <x:c r="I128" s="27" t="str"/>
    </x:row>
    <x:row r="129" ht="48" customHeight="1">
      <x:c r="A129" s="25" t="n">
        <x:v>16</x:v>
      </x:c>
      <x:c r="B129" s="25" t="str">
        <x:v>question</x:v>
      </x:c>
      <x:c r="C129" s="25" t="str">
        <x:v>Question text | IT, Cybersecurity, AI, Confidentiality and PDPA</x:v>
      </x:c>
      <x:c r="D129" s="25" t="str">
        <x:v>A designer wants to paste an unpublished client campaign brief into a public AI tool to generate ideas. What is required?</x:v>
      </x:c>
      <x:c r="E129" s="27" t="str">
        <x:v>A designer wants to paste an unpublished client campaign brief into a public AI tool to generate ideas. What is required?</x:v>
      </x:c>
      <x:c r="F129" s="25" t="str">
        <x:f>IF(ISNUMBER(SEARCH("Legacy translation mismatch",$I129)),"Review: legacy mismatch",IF(E129="","Missing",IF(TRIM(E129)=TRIM(D129),"Review: same as English","Translated")))</x:f>
        <x:v>Review: same as English</x:v>
      </x:c>
      <x:c r="G129" s="27" t="str">
        <x:v>A designer wants to paste an unpublished client campaign brief into a public AI tool to generate ideas. What is required?</x:v>
      </x:c>
      <x:c r="H129" s="25" t="str">
        <x:f>IF(ISNUMBER(SEARCH("Legacy translation mismatch",$I129)),"Review: legacy mismatch",IF(G129="","Missing",IF(TRIM(G129)=TRIM(D129),"Review: same as English","Translated")))</x:f>
        <x:v>Review: same as English</x:v>
      </x:c>
      <x:c r="I129" s="27" t="str">
        <x:v>Question translation is not currently provided.</x:v>
      </x:c>
    </x:row>
    <x:row r="130" ht="34" customHeight="1">
      <x:c r="A130" s="25" t="n">
        <x:v>16</x:v>
      </x:c>
      <x:c r="B130" s="25" t="str">
        <x:v>category</x:v>
      </x:c>
      <x:c r="C130" s="25" t="str">
        <x:v>Category label | IT, Cybersecurity, AI, Confidentiality and PDPA</x:v>
      </x:c>
      <x:c r="D130" s="25" t="str">
        <x:v>IT, Cybersecurity, AI, Confidentiality and PDPA</x:v>
      </x:c>
      <x:c r="E130" s="27" t="str">
        <x:v>IT, Cybersecurity, AI, Confidentiality and PDPA</x:v>
      </x:c>
      <x:c r="F130" s="25" t="str">
        <x:f>IF(ISNUMBER(SEARCH("Legacy translation mismatch",$I130)),"Review: legacy mismatch",IF(E130="","Missing",IF(TRIM(E130)=TRIM(D130),"Review: same as English","Translated")))</x:f>
        <x:v>Review: same as English</x:v>
      </x:c>
      <x:c r="G130" s="27" t="str">
        <x:v>IT, Cybersecurity, AI, Confidentiality and PDPA</x:v>
      </x:c>
      <x:c r="H130" s="25" t="str">
        <x:f>IF(ISNUMBER(SEARCH("Legacy translation mismatch",$I130)),"Review: legacy mismatch",IF(G130="","Missing",IF(TRIM(G130)=TRIM(D130),"Review: same as English","Translated")))</x:f>
        <x:v>Review: same as English</x:v>
      </x:c>
      <x:c r="I130" s="27" t="str"/>
    </x:row>
    <x:row r="131" ht="34" customHeight="1">
      <x:c r="A131" s="25" t="n">
        <x:v>16</x:v>
      </x:c>
      <x:c r="B131" s="25" t="str">
        <x:v>options[0]</x:v>
      </x:c>
      <x:c r="C131" s="25" t="str">
        <x:v>Answer option 1 | IT, Cybersecurity, AI, Confidentiality and PDPA</x:v>
      </x:c>
      <x:c r="D131" s="25" t="str">
        <x:v>A. Remove the client's logo and upload the rest.</x:v>
      </x:c>
      <x:c r="E131" s="27" t="str">
        <x:v>A. Remove the client's logo and upload the rest.</x:v>
      </x:c>
      <x:c r="F131" s="25" t="str">
        <x:f>IF(ISNUMBER(SEARCH("Legacy translation mismatch",$I131)),"Review: legacy mismatch",IF(E131="","Missing",IF(TRIM(E131)=TRIM(D131),"Review: same as English","Translated")))</x:f>
        <x:v>Review: same as English</x:v>
      </x:c>
      <x:c r="G131" s="27" t="str">
        <x:v>A. Remove the client's logo and upload the rest.</x:v>
      </x:c>
      <x:c r="H131" s="25" t="str">
        <x:f>IF(ISNUMBER(SEARCH("Legacy translation mismatch",$I131)),"Review: legacy mismatch",IF(G131="","Missing",IF(TRIM(G131)=TRIM(D131),"Review: same as English","Translated")))</x:f>
        <x:v>Review: same as English</x:v>
      </x:c>
      <x:c r="I131" s="27" t="str"/>
    </x:row>
    <x:row r="132" ht="48" customHeight="1">
      <x:c r="A132" s="25" t="n">
        <x:v>16</x:v>
      </x:c>
      <x:c r="B132" s="25" t="str">
        <x:v>options[1]</x:v>
      </x:c>
      <x:c r="C132" s="25" t="str">
        <x:v>Answer option 2 | IT, Cybersecurity, AI, Confidentiality and PDPA</x:v>
      </x:c>
      <x:c r="D132" s="25" t="str">
        <x:v>B. Obtain approval before uploading confidential or client information; otherwise do not upload it.</x:v>
      </x:c>
      <x:c r="E132" s="27" t="str">
        <x:v>B. Obtain approval before uploading confidential or client information; otherwise do not upload it.</x:v>
      </x:c>
      <x:c r="F132" s="25" t="str">
        <x:f>IF(ISNUMBER(SEARCH("Legacy translation mismatch",$I132)),"Review: legacy mismatch",IF(E132="","Missing",IF(TRIM(E132)=TRIM(D132),"Review: same as English","Translated")))</x:f>
        <x:v>Review: same as English</x:v>
      </x:c>
      <x:c r="G132" s="27" t="str">
        <x:v>B. Obtain approval before uploading confidential or client information; otherwise do not upload it.</x:v>
      </x:c>
      <x:c r="H132" s="25" t="str">
        <x:f>IF(ISNUMBER(SEARCH("Legacy translation mismatch",$I132)),"Review: legacy mismatch",IF(G132="","Missing",IF(TRIM(G132)=TRIM(D132),"Review: same as English","Translated")))</x:f>
        <x:v>Review: same as English</x:v>
      </x:c>
      <x:c r="I132" s="27" t="str"/>
    </x:row>
    <x:row r="133" ht="34" customHeight="1">
      <x:c r="A133" s="25" t="n">
        <x:v>16</x:v>
      </x:c>
      <x:c r="B133" s="25" t="str">
        <x:v>options[2]</x:v>
      </x:c>
      <x:c r="C133" s="25" t="str">
        <x:v>Answer option 3 | IT, Cybersecurity, AI, Confidentiality and PDPA</x:v>
      </x:c>
      <x:c r="D133" s="25" t="str">
        <x:v>C. Upload it if the AI account is registered using a Company email.</x:v>
      </x:c>
      <x:c r="E133" s="27" t="str">
        <x:v>C. Upload it if the AI account is registered using a Company email.</x:v>
      </x:c>
      <x:c r="F133" s="25" t="str">
        <x:f>IF(ISNUMBER(SEARCH("Legacy translation mismatch",$I133)),"Review: legacy mismatch",IF(E133="","Missing",IF(TRIM(E133)=TRIM(D133),"Review: same as English","Translated")))</x:f>
        <x:v>Review: same as English</x:v>
      </x:c>
      <x:c r="G133" s="27" t="str">
        <x:v>C. Upload it if the AI account is registered using a Company email.</x:v>
      </x:c>
      <x:c r="H133" s="25" t="str">
        <x:f>IF(ISNUMBER(SEARCH("Legacy translation mismatch",$I133)),"Review: legacy mismatch",IF(G133="","Missing",IF(TRIM(G133)=TRIM(D133),"Review: same as English","Translated")))</x:f>
        <x:v>Review: same as English</x:v>
      </x:c>
      <x:c r="I133" s="27" t="str"/>
    </x:row>
    <x:row r="134" ht="34" customHeight="1">
      <x:c r="A134" s="25" t="n">
        <x:v>16</x:v>
      </x:c>
      <x:c r="B134" s="25" t="str">
        <x:v>options[3]</x:v>
      </x:c>
      <x:c r="C134" s="25" t="str">
        <x:v>Answer option 4 | IT, Cybersecurity, AI, Confidentiality and PDPA</x:v>
      </x:c>
      <x:c r="D134" s="25" t="str">
        <x:v>D. Upload it if the final ideas will be reviewed by a manager.</x:v>
      </x:c>
      <x:c r="E134" s="27" t="str">
        <x:v>D. Upload it if the final ideas will be reviewed by a manager.</x:v>
      </x:c>
      <x:c r="F134" s="25" t="str">
        <x:f>IF(ISNUMBER(SEARCH("Legacy translation mismatch",$I134)),"Review: legacy mismatch",IF(E134="","Missing",IF(TRIM(E134)=TRIM(D134),"Review: same as English","Translated")))</x:f>
        <x:v>Review: same as English</x:v>
      </x:c>
      <x:c r="G134" s="27" t="str">
        <x:v>D. Upload it if the final ideas will be reviewed by a manager.</x:v>
      </x:c>
      <x:c r="H134" s="25" t="str">
        <x:f>IF(ISNUMBER(SEARCH("Legacy translation mismatch",$I134)),"Review: legacy mismatch",IF(G134="","Missing",IF(TRIM(G134)=TRIM(D134),"Review: same as English","Translated")))</x:f>
        <x:v>Review: same as English</x:v>
      </x:c>
      <x:c r="I134" s="27" t="str"/>
    </x:row>
    <x:row r="135" ht="48" customHeight="1">
      <x:c r="A135" s="25" t="n">
        <x:v>16</x:v>
      </x:c>
      <x:c r="B135" s="25" t="str">
        <x:v>explanation</x:v>
      </x:c>
      <x:c r="C135" s="25" t="str">
        <x:v>Answer explanation | IT, Cybersecurity, AI, Confidentiality and PDPA</x:v>
      </x:c>
      <x:c r="D135" s="25" t="str">
        <x:v>Confidential or client information must not be uploaded to public AI platforms without approval.</x:v>
      </x:c>
      <x:c r="E135" s="27" t="str">
        <x:v>Confidential or client information must not be uploaded to public AI platforms without approval.</x:v>
      </x:c>
      <x:c r="F135" s="25" t="str">
        <x:f>IF(ISNUMBER(SEARCH("Legacy translation mismatch",$I135)),"Review: legacy mismatch",IF(E135="","Missing",IF(TRIM(E135)=TRIM(D135),"Review: same as English","Translated")))</x:f>
        <x:v>Review: same as English</x:v>
      </x:c>
      <x:c r="G135" s="27" t="str">
        <x:v>Confidential or client information must not be uploaded to public AI platforms without approval.</x:v>
      </x:c>
      <x:c r="H135" s="25" t="str">
        <x:f>IF(ISNUMBER(SEARCH("Legacy translation mismatch",$I135)),"Review: legacy mismatch",IF(G135="","Missing",IF(TRIM(G135)=TRIM(D135),"Review: same as English","Translated")))</x:f>
        <x:v>Review: same as English</x:v>
      </x:c>
      <x:c r="I135" s="27" t="str"/>
    </x:row>
    <x:row r="136" ht="34" customHeight="1">
      <x:c r="A136" s="25" t="n">
        <x:v>16</x:v>
      </x:c>
      <x:c r="B136" s="25" t="str">
        <x:v>handbookSource</x:v>
      </x:c>
      <x:c r="C136" s="25" t="str">
        <x:v>Handbook source citation | IT, Cybersecurity, AI, Confidentiality and PDPA</x:v>
      </x:c>
      <x:c r="D136" s="25" t="str">
        <x:v>Part 10, AI Usage Policy (PDF pp. 61-62)</x:v>
      </x:c>
      <x:c r="E136" s="27" t="str">
        <x:v>Part 10, AI Usage Policy (PDF pp. 61-62)</x:v>
      </x:c>
      <x:c r="F136" s="25" t="str">
        <x:f>IF(ISNUMBER(SEARCH("Legacy translation mismatch",$I136)),"Review: legacy mismatch",IF(E136="","Missing",IF(TRIM(E136)=TRIM(D136),"Review: same as English","Translated")))</x:f>
        <x:v>Review: same as English</x:v>
      </x:c>
      <x:c r="G136" s="27" t="str">
        <x:v>Part 10, AI Usage Policy (PDF pp. 61-62)</x:v>
      </x:c>
      <x:c r="H136" s="25" t="str">
        <x:f>IF(ISNUMBER(SEARCH("Legacy translation mismatch",$I136)),"Review: legacy mismatch",IF(G136="","Missing",IF(TRIM(G136)=TRIM(D136),"Review: same as English","Translated")))</x:f>
        <x:v>Review: same as English</x:v>
      </x:c>
      <x:c r="I136" s="27" t="str"/>
    </x:row>
    <x:row r="137" ht="48" customHeight="1">
      <x:c r="A137" s="25" t="n">
        <x:v>17</x:v>
      </x:c>
      <x:c r="B137" s="25" t="str">
        <x:v>question</x:v>
      </x:c>
      <x:c r="C137" s="25" t="str">
        <x:v>Question text | IT, Cybersecurity, AI, Confidentiality and PDPA</x:v>
      </x:c>
      <x:c r="D137" s="25" t="str">
        <x:v>Which actions are required when handling AI output, confidential information and personal data? Select all that apply.</x:v>
      </x:c>
      <x:c r="E137" s="27" t="str">
        <x:v>Which actions are required when handling AI output, confidential information and personal data? Select all that apply.</x:v>
      </x:c>
      <x:c r="F137" s="25" t="str">
        <x:f>IF(ISNUMBER(SEARCH("Legacy translation mismatch",$I137)),"Review: legacy mismatch",IF(E137="","Missing",IF(TRIM(E137)=TRIM(D137),"Review: same as English","Translated")))</x:f>
        <x:v>Review: same as English</x:v>
      </x:c>
      <x:c r="G137" s="27" t="str">
        <x:v>Which actions are required when handling AI output, confidential information and personal data? Select all that apply.</x:v>
      </x:c>
      <x:c r="H137" s="25" t="str">
        <x:f>IF(ISNUMBER(SEARCH("Legacy translation mismatch",$I137)),"Review: legacy mismatch",IF(G137="","Missing",IF(TRIM(G137)=TRIM(D137),"Review: same as English","Translated")))</x:f>
        <x:v>Review: same as English</x:v>
      </x:c>
      <x:c r="I137" s="27" t="str">
        <x:v>Question translation is not currently provided.</x:v>
      </x:c>
    </x:row>
    <x:row r="138" ht="34" customHeight="1">
      <x:c r="A138" s="25" t="n">
        <x:v>17</x:v>
      </x:c>
      <x:c r="B138" s="25" t="str">
        <x:v>category</x:v>
      </x:c>
      <x:c r="C138" s="25" t="str">
        <x:v>Category label | IT, Cybersecurity, AI, Confidentiality and PDPA</x:v>
      </x:c>
      <x:c r="D138" s="25" t="str">
        <x:v>IT, Cybersecurity, AI, Confidentiality and PDPA</x:v>
      </x:c>
      <x:c r="E138" s="27" t="str">
        <x:v>IT, Cybersecurity, AI, Confidentiality and PDPA</x:v>
      </x:c>
      <x:c r="F138" s="25" t="str">
        <x:f>IF(ISNUMBER(SEARCH("Legacy translation mismatch",$I138)),"Review: legacy mismatch",IF(E138="","Missing",IF(TRIM(E138)=TRIM(D138),"Review: same as English","Translated")))</x:f>
        <x:v>Review: same as English</x:v>
      </x:c>
      <x:c r="G138" s="27" t="str">
        <x:v>IT, Cybersecurity, AI, Confidentiality and PDPA</x:v>
      </x:c>
      <x:c r="H138" s="25" t="str">
        <x:f>IF(ISNUMBER(SEARCH("Legacy translation mismatch",$I138)),"Review: legacy mismatch",IF(G138="","Missing",IF(TRIM(G138)=TRIM(D138),"Review: same as English","Translated")))</x:f>
        <x:v>Review: same as English</x:v>
      </x:c>
      <x:c r="I138" s="27" t="str"/>
    </x:row>
    <x:row r="139" ht="34" customHeight="1">
      <x:c r="A139" s="25" t="n">
        <x:v>17</x:v>
      </x:c>
      <x:c r="B139" s="25" t="str">
        <x:v>options[0]</x:v>
      </x:c>
      <x:c r="C139" s="25" t="str">
        <x:v>Answer option 1 | IT, Cybersecurity, AI, Confidentiality and PDPA</x:v>
      </x:c>
      <x:c r="D139" s="25" t="str">
        <x:v>A. Verify AI-generated output instead of relying on it without checking.</x:v>
      </x:c>
      <x:c r="E139" s="27" t="str">
        <x:v>A. Verify AI-generated output instead of relying on it without checking.</x:v>
      </x:c>
      <x:c r="F139" s="25" t="str">
        <x:f>IF(ISNUMBER(SEARCH("Legacy translation mismatch",$I139)),"Review: legacy mismatch",IF(E139="","Missing",IF(TRIM(E139)=TRIM(D139),"Review: same as English","Translated")))</x:f>
        <x:v>Review: same as English</x:v>
      </x:c>
      <x:c r="G139" s="27" t="str">
        <x:v>A. Verify AI-generated output instead of relying on it without checking.</x:v>
      </x:c>
      <x:c r="H139" s="25" t="str">
        <x:f>IF(ISNUMBER(SEARCH("Legacy translation mismatch",$I139)),"Review: legacy mismatch",IF(G139="","Missing",IF(TRIM(G139)=TRIM(D139),"Review: same as English","Translated")))</x:f>
        <x:v>Review: same as English</x:v>
      </x:c>
      <x:c r="I139" s="27" t="str"/>
    </x:row>
    <x:row r="140" ht="34" customHeight="1">
      <x:c r="A140" s="25" t="n">
        <x:v>17</x:v>
      </x:c>
      <x:c r="B140" s="25" t="str">
        <x:v>options[1]</x:v>
      </x:c>
      <x:c r="C140" s="25" t="str">
        <x:v>Answer option 2 | IT, Cybersecurity, AI, Confidentiality and PDPA</x:v>
      </x:c>
      <x:c r="D140" s="25" t="str">
        <x:v>B. Remain responsible for the accuracy and quality of work produced with AI.</x:v>
      </x:c>
      <x:c r="E140" s="27" t="str">
        <x:v>B. Remain responsible for the accuracy and quality of work produced with AI.</x:v>
      </x:c>
      <x:c r="F140" s="25" t="str">
        <x:f>IF(ISNUMBER(SEARCH("Legacy translation mismatch",$I140)),"Review: legacy mismatch",IF(E140="","Missing",IF(TRIM(E140)=TRIM(D140),"Review: same as English","Translated")))</x:f>
        <x:v>Review: same as English</x:v>
      </x:c>
      <x:c r="G140" s="27" t="str">
        <x:v>B. Remain responsible for the accuracy and quality of work produced with AI.</x:v>
      </x:c>
      <x:c r="H140" s="25" t="str">
        <x:f>IF(ISNUMBER(SEARCH("Legacy translation mismatch",$I140)),"Review: legacy mismatch",IF(G140="","Missing",IF(TRIM(G140)=TRIM(D140),"Review: same as English","Translated")))</x:f>
        <x:v>Review: same as English</x:v>
      </x:c>
      <x:c r="I140" s="27" t="str"/>
    </x:row>
    <x:row r="141" ht="48" customHeight="1">
      <x:c r="A141" s="25" t="n">
        <x:v>17</x:v>
      </x:c>
      <x:c r="B141" s="25" t="str">
        <x:v>options[2]</x:v>
      </x:c>
      <x:c r="C141" s="25" t="str">
        <x:v>Answer option 3 | IT, Cybersecurity, AI, Confidentiality and PDPA</x:v>
      </x:c>
      <x:c r="D141" s="25" t="str">
        <x:v>C. Process personal data only for legitimate purposes and protect it from unauthorised access.</x:v>
      </x:c>
      <x:c r="E141" s="27" t="str">
        <x:v>C. Process personal data only for legitimate purposes and protect it from unauthorised access.</x:v>
      </x:c>
      <x:c r="F141" s="25" t="str">
        <x:f>IF(ISNUMBER(SEARCH("Legacy translation mismatch",$I141)),"Review: legacy mismatch",IF(E141="","Missing",IF(TRIM(E141)=TRIM(D141),"Review: same as English","Translated")))</x:f>
        <x:v>Review: same as English</x:v>
      </x:c>
      <x:c r="G141" s="27" t="str">
        <x:v>C. Process personal data only for legitimate purposes and protect it from unauthorised access.</x:v>
      </x:c>
      <x:c r="H141" s="25" t="str">
        <x:f>IF(ISNUMBER(SEARCH("Legacy translation mismatch",$I141)),"Review: legacy mismatch",IF(G141="","Missing",IF(TRIM(G141)=TRIM(D141),"Review: same as English","Translated")))</x:f>
        <x:v>Review: same as English</x:v>
      </x:c>
      <x:c r="I141" s="27" t="str"/>
    </x:row>
    <x:row r="142" ht="34" customHeight="1">
      <x:c r="A142" s="25" t="n">
        <x:v>17</x:v>
      </x:c>
      <x:c r="B142" s="25" t="str">
        <x:v>options[3]</x:v>
      </x:c>
      <x:c r="C142" s="25" t="str">
        <x:v>Answer option 4 | IT, Cybersecurity, AI, Confidentiality and PDPA</x:v>
      </x:c>
      <x:c r="D142" s="25" t="str">
        <x:v>D. Report data breaches immediately.</x:v>
      </x:c>
      <x:c r="E142" s="27" t="str">
        <x:v>D. Report data breaches immediately.</x:v>
      </x:c>
      <x:c r="F142" s="25" t="str">
        <x:f>IF(ISNUMBER(SEARCH("Legacy translation mismatch",$I142)),"Review: legacy mismatch",IF(E142="","Missing",IF(TRIM(E142)=TRIM(D142),"Review: same as English","Translated")))</x:f>
        <x:v>Review: same as English</x:v>
      </x:c>
      <x:c r="G142" s="27" t="str">
        <x:v>D. Report data breaches immediately.</x:v>
      </x:c>
      <x:c r="H142" s="25" t="str">
        <x:f>IF(ISNUMBER(SEARCH("Legacy translation mismatch",$I142)),"Review: legacy mismatch",IF(G142="","Missing",IF(TRIM(G142)=TRIM(D142),"Review: same as English","Translated")))</x:f>
        <x:v>Review: same as English</x:v>
      </x:c>
      <x:c r="I142" s="27" t="str"/>
    </x:row>
    <x:row r="143" ht="34" customHeight="1">
      <x:c r="A143" s="25" t="n">
        <x:v>17</x:v>
      </x:c>
      <x:c r="B143" s="25" t="str">
        <x:v>options[4]</x:v>
      </x:c>
      <x:c r="C143" s="25" t="str">
        <x:v>Answer option 5 | IT, Cybersecurity, AI, Confidentiality and PDPA</x:v>
      </x:c>
      <x:c r="D143" s="25" t="str">
        <x:v>E. Share client information internally with anyone who asks for it.</x:v>
      </x:c>
      <x:c r="E143" s="27" t="str">
        <x:v>E. Share client information internally with anyone who asks for it.</x:v>
      </x:c>
      <x:c r="F143" s="25" t="str">
        <x:f>IF(ISNUMBER(SEARCH("Legacy translation mismatch",$I143)),"Review: legacy mismatch",IF(E143="","Missing",IF(TRIM(E143)=TRIM(D143),"Review: same as English","Translated")))</x:f>
        <x:v>Review: same as English</x:v>
      </x:c>
      <x:c r="G143" s="27" t="str">
        <x:v>E. Share client information internally with anyone who asks for it.</x:v>
      </x:c>
      <x:c r="H143" s="25" t="str">
        <x:f>IF(ISNUMBER(SEARCH("Legacy translation mismatch",$I143)),"Review: legacy mismatch",IF(G143="","Missing",IF(TRIM(G143)=TRIM(D143),"Review: same as English","Translated")))</x:f>
        <x:v>Review: same as English</x:v>
      </x:c>
      <x:c r="I143" s="27" t="str"/>
    </x:row>
    <x:row r="144" ht="62" customHeight="1">
      <x:c r="A144" s="25" t="n">
        <x:v>17</x:v>
      </x:c>
      <x:c r="B144" s="25" t="str">
        <x:v>explanation</x:v>
      </x:c>
      <x:c r="C144" s="25" t="str">
        <x:v>Answer explanation | IT, Cybersecurity, AI, Confidentiality and PDPA</x:v>
      </x:c>
      <x:c r="D144" s="25" t="str">
        <x:v>Employees must verify AI outputs, remain accountable for deliverables, process personal data legitimately, prevent unauthorised access and report breaches immediately.</x:v>
      </x:c>
      <x:c r="E144" s="27" t="str">
        <x:v>Employees must verify AI outputs, remain accountable for deliverables, process personal data legitimately, prevent unauthorised access and report breaches immediately.</x:v>
      </x:c>
      <x:c r="F144" s="25" t="str">
        <x:f>IF(ISNUMBER(SEARCH("Legacy translation mismatch",$I144)),"Review: legacy mismatch",IF(E144="","Missing",IF(TRIM(E144)=TRIM(D144),"Review: same as English","Translated")))</x:f>
        <x:v>Review: same as English</x:v>
      </x:c>
      <x:c r="G144" s="27" t="str">
        <x:v>Employees must verify AI outputs, remain accountable for deliverables, process personal data legitimately, prevent unauthorised access and report breaches immediately.</x:v>
      </x:c>
      <x:c r="H144" s="25" t="str">
        <x:f>IF(ISNUMBER(SEARCH("Legacy translation mismatch",$I144)),"Review: legacy mismatch",IF(G144="","Missing",IF(TRIM(G144)=TRIM(D144),"Review: same as English","Translated")))</x:f>
        <x:v>Review: same as English</x:v>
      </x:c>
      <x:c r="I144" s="27" t="str"/>
    </x:row>
    <x:row r="145" ht="34" customHeight="1">
      <x:c r="A145" s="25" t="n">
        <x:v>17</x:v>
      </x:c>
      <x:c r="B145" s="25" t="str">
        <x:v>handbookSource</x:v>
      </x:c>
      <x:c r="C145" s="25" t="str">
        <x:v>Handbook source citation | IT, Cybersecurity, AI, Confidentiality and PDPA</x:v>
      </x:c>
      <x:c r="D145" s="25" t="str">
        <x:v>Part 10, AI Usage, Confidentiality and PDPA Policies (PDF pp. 61-63)</x:v>
      </x:c>
      <x:c r="E145" s="27" t="str">
        <x:v>Part 10, AI Usage, Confidentiality and PDPA Policies (PDF pp. 61-63)</x:v>
      </x:c>
      <x:c r="F145" s="25" t="str">
        <x:f>IF(ISNUMBER(SEARCH("Legacy translation mismatch",$I145)),"Review: legacy mismatch",IF(E145="","Missing",IF(TRIM(E145)=TRIM(D145),"Review: same as English","Translated")))</x:f>
        <x:v>Review: same as English</x:v>
      </x:c>
      <x:c r="G145" s="27" t="str">
        <x:v>Part 10, AI Usage, Confidentiality and PDPA Policies (PDF pp. 61-63)</x:v>
      </x:c>
      <x:c r="H145" s="25" t="str">
        <x:f>IF(ISNUMBER(SEARCH("Legacy translation mismatch",$I145)),"Review: legacy mismatch",IF(G145="","Missing",IF(TRIM(G145)=TRIM(D145),"Review: same as English","Translated")))</x:f>
        <x:v>Review: same as English</x:v>
      </x:c>
      <x:c r="I145" s="27" t="str"/>
    </x:row>
    <x:row r="146" ht="62" customHeight="1">
      <x:c r="A146" s="25" t="n">
        <x:v>18</x:v>
      </x:c>
      <x:c r="B146" s="25" t="str">
        <x:v>question</x:v>
      </x:c>
      <x:c r="C146" s="25" t="str">
        <x:v>Question text | IT, Cybersecurity, AI, Confidentiality and PDPA</x:v>
      </x:c>
      <x:c r="D146" s="25" t="str">
        <x:v>True or False: A Company social media or advertising account becomes the employee's property if the employee created and managed it.</x:v>
      </x:c>
      <x:c r="E146" s="27" t="str">
        <x:v>True or False: A Company social media or advertising account becomes the employee's property if the employee created and managed it.</x:v>
      </x:c>
      <x:c r="F146" s="25" t="str">
        <x:f>IF(ISNUMBER(SEARCH("Legacy translation mismatch",$I146)),"Review: legacy mismatch",IF(E146="","Missing",IF(TRIM(E146)=TRIM(D146),"Review: same as English","Translated")))</x:f>
        <x:v>Review: same as English</x:v>
      </x:c>
      <x:c r="G146" s="27" t="str">
        <x:v>True or False: A Company social media or advertising account becomes the employee's property if the employee created and managed it.</x:v>
      </x:c>
      <x:c r="H146" s="25" t="str">
        <x:f>IF(ISNUMBER(SEARCH("Legacy translation mismatch",$I146)),"Review: legacy mismatch",IF(G146="","Missing",IF(TRIM(G146)=TRIM(D146),"Review: same as English","Translated")))</x:f>
        <x:v>Review: same as English</x:v>
      </x:c>
      <x:c r="I146" s="27" t="str">
        <x:v>Question translation is not currently provided.</x:v>
      </x:c>
    </x:row>
    <x:row r="147" ht="34" customHeight="1">
      <x:c r="A147" s="25" t="n">
        <x:v>18</x:v>
      </x:c>
      <x:c r="B147" s="25" t="str">
        <x:v>category</x:v>
      </x:c>
      <x:c r="C147" s="25" t="str">
        <x:v>Category label | IT, Cybersecurity, AI, Confidentiality and PDPA</x:v>
      </x:c>
      <x:c r="D147" s="25" t="str">
        <x:v>IT, Cybersecurity, AI, Confidentiality and PDPA</x:v>
      </x:c>
      <x:c r="E147" s="27" t="str">
        <x:v>IT, Cybersecurity, AI, Confidentiality and PDPA</x:v>
      </x:c>
      <x:c r="F147" s="25" t="str">
        <x:f>IF(ISNUMBER(SEARCH("Legacy translation mismatch",$I147)),"Review: legacy mismatch",IF(E147="","Missing",IF(TRIM(E147)=TRIM(D147),"Review: same as English","Translated")))</x:f>
        <x:v>Review: same as English</x:v>
      </x:c>
      <x:c r="G147" s="27" t="str">
        <x:v>IT, Cybersecurity, AI, Confidentiality and PDPA</x:v>
      </x:c>
      <x:c r="H147" s="25" t="str">
        <x:f>IF(ISNUMBER(SEARCH("Legacy translation mismatch",$I147)),"Review: legacy mismatch",IF(G147="","Missing",IF(TRIM(G147)=TRIM(D147),"Review: same as English","Translated")))</x:f>
        <x:v>Review: same as English</x:v>
      </x:c>
      <x:c r="I147" s="27" t="str"/>
    </x:row>
    <x:row r="148" ht="34" customHeight="1">
      <x:c r="A148" s="25" t="n">
        <x:v>18</x:v>
      </x:c>
      <x:c r="B148" s="25" t="str">
        <x:v>options[0]</x:v>
      </x:c>
      <x:c r="C148" s="25" t="str">
        <x:v>Answer option 1 | IT, Cybersecurity, AI, Confidentiality and PDPA</x:v>
      </x:c>
      <x:c r="D148" s="25" t="str">
        <x:v>A. True</x:v>
      </x:c>
      <x:c r="E148" s="27" t="str">
        <x:v>A. True</x:v>
      </x:c>
      <x:c r="F148" s="25" t="str">
        <x:f>IF(ISNUMBER(SEARCH("Legacy translation mismatch",$I148)),"Review: legacy mismatch",IF(E148="","Missing",IF(TRIM(E148)=TRIM(D148),"Review: same as English","Translated")))</x:f>
        <x:v>Review: same as English</x:v>
      </x:c>
      <x:c r="G148" s="27" t="str">
        <x:v>A. True</x:v>
      </x:c>
      <x:c r="H148" s="25" t="str">
        <x:f>IF(ISNUMBER(SEARCH("Legacy translation mismatch",$I148)),"Review: legacy mismatch",IF(G148="","Missing",IF(TRIM(G148)=TRIM(D148),"Review: same as English","Translated")))</x:f>
        <x:v>Review: same as English</x:v>
      </x:c>
      <x:c r="I148" s="27" t="str"/>
    </x:row>
    <x:row r="149" ht="34" customHeight="1">
      <x:c r="A149" s="25" t="n">
        <x:v>18</x:v>
      </x:c>
      <x:c r="B149" s="25" t="str">
        <x:v>options[1]</x:v>
      </x:c>
      <x:c r="C149" s="25" t="str">
        <x:v>Answer option 2 | IT, Cybersecurity, AI, Confidentiality and PDPA</x:v>
      </x:c>
      <x:c r="D149" s="25" t="str">
        <x:v>B. False</x:v>
      </x:c>
      <x:c r="E149" s="27" t="str">
        <x:v>B. False</x:v>
      </x:c>
      <x:c r="F149" s="25" t="str">
        <x:f>IF(ISNUMBER(SEARCH("Legacy translation mismatch",$I149)),"Review: legacy mismatch",IF(E149="","Missing",IF(TRIM(E149)=TRIM(D149),"Review: same as English","Translated")))</x:f>
        <x:v>Review: same as English</x:v>
      </x:c>
      <x:c r="G149" s="27" t="str">
        <x:v>B. False</x:v>
      </x:c>
      <x:c r="H149" s="25" t="str">
        <x:f>IF(ISNUMBER(SEARCH("Legacy translation mismatch",$I149)),"Review: legacy mismatch",IF(G149="","Missing",IF(TRIM(G149)=TRIM(D149),"Review: same as English","Translated")))</x:f>
        <x:v>Review: same as English</x:v>
      </x:c>
      <x:c r="I149" s="27" t="str"/>
    </x:row>
    <x:row r="150" ht="62" customHeight="1">
      <x:c r="A150" s="25" t="n">
        <x:v>18</x:v>
      </x:c>
      <x:c r="B150" s="25" t="str">
        <x:v>explanation</x:v>
      </x:c>
      <x:c r="C150" s="25" t="str">
        <x:v>Answer explanation | IT, Cybersecurity, AI, Confidentiality and PDPA</x:v>
      </x:c>
      <x:c r="D150" s="25" t="str">
        <x:v>Company-owned social media, advertising and other digital accounts remain Company property. Access credentials must be returned upon cessation of employment.</x:v>
      </x:c>
      <x:c r="E150" s="27" t="str">
        <x:v>Company-owned social media, advertising and other digital accounts remain Company property. Access credentials must be returned upon cessation of employment.</x:v>
      </x:c>
      <x:c r="F150" s="25" t="str">
        <x:f>IF(ISNUMBER(SEARCH("Legacy translation mismatch",$I150)),"Review: legacy mismatch",IF(E150="","Missing",IF(TRIM(E150)=TRIM(D150),"Review: same as English","Translated")))</x:f>
        <x:v>Review: same as English</x:v>
      </x:c>
      <x:c r="G150" s="27" t="str">
        <x:v>Company-owned social media, advertising and other digital accounts remain Company property. Access credentials must be returned upon cessation of employment.</x:v>
      </x:c>
      <x:c r="H150" s="25" t="str">
        <x:f>IF(ISNUMBER(SEARCH("Legacy translation mismatch",$I150)),"Review: legacy mismatch",IF(G150="","Missing",IF(TRIM(G150)=TRIM(D150),"Review: same as English","Translated")))</x:f>
        <x:v>Review: same as English</x:v>
      </x:c>
      <x:c r="I150" s="27" t="str"/>
    </x:row>
    <x:row r="151" ht="34" customHeight="1">
      <x:c r="A151" s="25" t="n">
        <x:v>18</x:v>
      </x:c>
      <x:c r="B151" s="25" t="str">
        <x:v>handbookSource</x:v>
      </x:c>
      <x:c r="C151" s="25" t="str">
        <x:v>Handbook source citation | IT, Cybersecurity, AI, Confidentiality and PDPA</x:v>
      </x:c>
      <x:c r="D151" s="25" t="str">
        <x:v>Part 10, Social Media Policy and Digital Asset Ownership (PDF pp. 59-60 and 64)</x:v>
      </x:c>
      <x:c r="E151" s="27" t="str">
        <x:v>Part 10, Social Media Policy and Digital Asset Ownership (PDF pp. 59-60 and 64)</x:v>
      </x:c>
      <x:c r="F151" s="25" t="str">
        <x:f>IF(ISNUMBER(SEARCH("Legacy translation mismatch",$I151)),"Review: legacy mismatch",IF(E151="","Missing",IF(TRIM(E151)=TRIM(D151),"Review: same as English","Translated")))</x:f>
        <x:v>Review: same as English</x:v>
      </x:c>
      <x:c r="G151" s="27" t="str">
        <x:v>Part 10, Social Media Policy and Digital Asset Ownership (PDF pp. 59-60 and 64)</x:v>
      </x:c>
      <x:c r="H151" s="25" t="str">
        <x:f>IF(ISNUMBER(SEARCH("Legacy translation mismatch",$I151)),"Review: legacy mismatch",IF(G151="","Missing",IF(TRIM(G151)=TRIM(D151),"Review: same as English","Translated")))</x:f>
        <x:v>Review: same as English</x:v>
      </x:c>
      <x:c r="I151" s="27" t="str"/>
    </x:row>
    <x:row r="152" ht="62" customHeight="1">
      <x:c r="A152" s="25" t="n">
        <x:v>19</x:v>
      </x:c>
      <x:c r="B152" s="25" t="str">
        <x:v>question</x:v>
      </x:c>
      <x:c r="C152" s="25" t="str">
        <x:v>Question text | Code of Conduct and Ethics</x:v>
      </x:c>
      <x:c r="D152" s="25" t="str">
        <x:v>A team member repeatedly humiliates a colleague in group chats and deliberately excludes them from work discussions. How is this treated?</x:v>
      </x:c>
      <x:c r="E152" s="27" t="str">
        <x:v>A team member repeatedly humiliates a colleague in group chats and deliberately excludes them from work discussions. How is this treated?</x:v>
      </x:c>
      <x:c r="F152" s="25" t="str">
        <x:f>IF(ISNUMBER(SEARCH("Legacy translation mismatch",$I152)),"Review: legacy mismatch",IF(E152="","Missing",IF(TRIM(E152)=TRIM(D152),"Review: same as English","Translated")))</x:f>
        <x:v>Review: same as English</x:v>
      </x:c>
      <x:c r="G152" s="27" t="str">
        <x:v>A team member repeatedly humiliates a colleague in group chats and deliberately excludes them from work discussions. How is this treated?</x:v>
      </x:c>
      <x:c r="H152" s="25" t="str">
        <x:f>IF(ISNUMBER(SEARCH("Legacy translation mismatch",$I152)),"Review: legacy mismatch",IF(G152="","Missing",IF(TRIM(G152)=TRIM(D152),"Review: same as English","Translated")))</x:f>
        <x:v>Review: same as English</x:v>
      </x:c>
      <x:c r="I152" s="27" t="str">
        <x:v>Question translation is not currently provided.</x:v>
      </x:c>
    </x:row>
    <x:row r="153" ht="34" customHeight="1">
      <x:c r="A153" s="25" t="n">
        <x:v>19</x:v>
      </x:c>
      <x:c r="B153" s="25" t="str">
        <x:v>category</x:v>
      </x:c>
      <x:c r="C153" s="25" t="str">
        <x:v>Category label | Code of Conduct and Ethics</x:v>
      </x:c>
      <x:c r="D153" s="25" t="str">
        <x:v>Code of Conduct and Ethics</x:v>
      </x:c>
      <x:c r="E153" s="27" t="str">
        <x:v>Code of Conduct and Ethics</x:v>
      </x:c>
      <x:c r="F153" s="25" t="str">
        <x:f>IF(ISNUMBER(SEARCH("Legacy translation mismatch",$I153)),"Review: legacy mismatch",IF(E153="","Missing",IF(TRIM(E153)=TRIM(D153),"Review: same as English","Translated")))</x:f>
        <x:v>Review: same as English</x:v>
      </x:c>
      <x:c r="G153" s="27" t="str">
        <x:v>Code of Conduct and Ethics</x:v>
      </x:c>
      <x:c r="H153" s="25" t="str">
        <x:f>IF(ISNUMBER(SEARCH("Legacy translation mismatch",$I153)),"Review: legacy mismatch",IF(G153="","Missing",IF(TRIM(G153)=TRIM(D153),"Review: same as English","Translated")))</x:f>
        <x:v>Review: same as English</x:v>
      </x:c>
      <x:c r="I153" s="27" t="str"/>
    </x:row>
    <x:row r="154" ht="34" customHeight="1">
      <x:c r="A154" s="25" t="n">
        <x:v>19</x:v>
      </x:c>
      <x:c r="B154" s="25" t="str">
        <x:v>options[0]</x:v>
      </x:c>
      <x:c r="C154" s="25" t="str">
        <x:v>Answer option 1 | Code of Conduct and Ethics</x:v>
      </x:c>
      <x:c r="D154" s="25" t="str">
        <x:v>A. Acceptable performance management if the team is under pressure.</x:v>
      </x:c>
      <x:c r="E154" s="27" t="str">
        <x:v>A. Acceptable performance management if the team is under pressure.</x:v>
      </x:c>
      <x:c r="F154" s="25" t="str">
        <x:f>IF(ISNUMBER(SEARCH("Legacy translation mismatch",$I154)),"Review: legacy mismatch",IF(E154="","Missing",IF(TRIM(E154)=TRIM(D154),"Review: same as English","Translated")))</x:f>
        <x:v>Review: same as English</x:v>
      </x:c>
      <x:c r="G154" s="27" t="str">
        <x:v>A. Acceptable performance management if the team is under pressure.</x:v>
      </x:c>
      <x:c r="H154" s="25" t="str">
        <x:f>IF(ISNUMBER(SEARCH("Legacy translation mismatch",$I154)),"Review: legacy mismatch",IF(G154="","Missing",IF(TRIM(G154)=TRIM(D154),"Review: same as English","Translated")))</x:f>
        <x:v>Review: same as English</x:v>
      </x:c>
      <x:c r="I154" s="27" t="str"/>
    </x:row>
    <x:row r="155" ht="34" customHeight="1">
      <x:c r="A155" s="25" t="n">
        <x:v>19</x:v>
      </x:c>
      <x:c r="B155" s="25" t="str">
        <x:v>options[1]</x:v>
      </x:c>
      <x:c r="C155" s="25" t="str">
        <x:v>Answer option 2 | Code of Conduct and Ethics</x:v>
      </x:c>
      <x:c r="D155" s="25" t="str">
        <x:v>B. Potential bullying or harassment that should be reported.</x:v>
      </x:c>
      <x:c r="E155" s="27" t="str">
        <x:v>B. Potential bullying or harassment that should be reported.</x:v>
      </x:c>
      <x:c r="F155" s="25" t="str">
        <x:f>IF(ISNUMBER(SEARCH("Legacy translation mismatch",$I155)),"Review: legacy mismatch",IF(E155="","Missing",IF(TRIM(E155)=TRIM(D155),"Review: same as English","Translated")))</x:f>
        <x:v>Review: same as English</x:v>
      </x:c>
      <x:c r="G155" s="27" t="str">
        <x:v>B. Potential bullying or harassment that should be reported.</x:v>
      </x:c>
      <x:c r="H155" s="25" t="str">
        <x:f>IF(ISNUMBER(SEARCH("Legacy translation mismatch",$I155)),"Review: legacy mismatch",IF(G155="","Missing",IF(TRIM(G155)=TRIM(D155),"Review: same as English","Translated")))</x:f>
        <x:v>Review: same as English</x:v>
      </x:c>
      <x:c r="I155" s="27" t="str"/>
    </x:row>
    <x:row r="156" ht="34" customHeight="1">
      <x:c r="A156" s="25" t="n">
        <x:v>19</x:v>
      </x:c>
      <x:c r="B156" s="25" t="str">
        <x:v>options[2]</x:v>
      </x:c>
      <x:c r="C156" s="25" t="str">
        <x:v>Answer option 3 | Code of Conduct and Ethics</x:v>
      </x:c>
      <x:c r="D156" s="25" t="str">
        <x:v>C. A private communication issue with no workplace relevance.</x:v>
      </x:c>
      <x:c r="E156" s="27" t="str">
        <x:v>C. A private communication issue with no workplace relevance.</x:v>
      </x:c>
      <x:c r="F156" s="25" t="str">
        <x:f>IF(ISNUMBER(SEARCH("Legacy translation mismatch",$I156)),"Review: legacy mismatch",IF(E156="","Missing",IF(TRIM(E156)=TRIM(D156),"Review: same as English","Translated")))</x:f>
        <x:v>Review: same as English</x:v>
      </x:c>
      <x:c r="G156" s="27" t="str">
        <x:v>C. A private communication issue with no workplace relevance.</x:v>
      </x:c>
      <x:c r="H156" s="25" t="str">
        <x:f>IF(ISNUMBER(SEARCH("Legacy translation mismatch",$I156)),"Review: legacy mismatch",IF(G156="","Missing",IF(TRIM(G156)=TRIM(D156),"Review: same as English","Translated")))</x:f>
        <x:v>Review: same as English</x:v>
      </x:c>
      <x:c r="I156" s="27" t="str"/>
    </x:row>
    <x:row r="157" ht="34" customHeight="1">
      <x:c r="A157" s="25" t="n">
        <x:v>19</x:v>
      </x:c>
      <x:c r="B157" s="25" t="str">
        <x:v>options[3]</x:v>
      </x:c>
      <x:c r="C157" s="25" t="str">
        <x:v>Answer option 4 | Code of Conduct and Ethics</x:v>
      </x:c>
      <x:c r="D157" s="25" t="str">
        <x:v>D. Acceptable if no offensive language is used.</x:v>
      </x:c>
      <x:c r="E157" s="27" t="str">
        <x:v>D. Acceptable if no offensive language is used.</x:v>
      </x:c>
      <x:c r="F157" s="25" t="str">
        <x:f>IF(ISNUMBER(SEARCH("Legacy translation mismatch",$I157)),"Review: legacy mismatch",IF(E157="","Missing",IF(TRIM(E157)=TRIM(D157),"Review: same as English","Translated")))</x:f>
        <x:v>Review: same as English</x:v>
      </x:c>
      <x:c r="G157" s="27" t="str">
        <x:v>D. Acceptable if no offensive language is used.</x:v>
      </x:c>
      <x:c r="H157" s="25" t="str">
        <x:f>IF(ISNUMBER(SEARCH("Legacy translation mismatch",$I157)),"Review: legacy mismatch",IF(G157="","Missing",IF(TRIM(G157)=TRIM(D157),"Review: same as English","Translated")))</x:f>
        <x:v>Review: same as English</x:v>
      </x:c>
      <x:c r="I157" s="27" t="str"/>
    </x:row>
    <x:row r="158" ht="76" customHeight="1">
      <x:c r="A158" s="25" t="n">
        <x:v>19</x:v>
      </x:c>
      <x:c r="B158" s="25" t="str">
        <x:v>explanation</x:v>
      </x:c>
      <x:c r="C158" s="25" t="str">
        <x:v>Answer explanation | Code of Conduct and Ethics</x:v>
      </x:c>
      <x:c r="D158" s="25" t="str">
        <x:v>Repeated humiliation, deliberate exclusion and unwelcome conduct that causes distress or interferes with work may constitute bullying or harassment. Incidents should be reported promptly.</x:v>
      </x:c>
      <x:c r="E158" s="27" t="str">
        <x:v>Repeated humiliation, deliberate exclusion and unwelcome conduct that causes distress or interferes with work may constitute bullying or harassment. Incidents should be reported promptly.</x:v>
      </x:c>
      <x:c r="F158" s="25" t="str">
        <x:f>IF(ISNUMBER(SEARCH("Legacy translation mismatch",$I158)),"Review: legacy mismatch",IF(E158="","Missing",IF(TRIM(E158)=TRIM(D158),"Review: same as English","Translated")))</x:f>
        <x:v>Review: same as English</x:v>
      </x:c>
      <x:c r="G158" s="27" t="str">
        <x:v>Repeated humiliation, deliberate exclusion and unwelcome conduct that causes distress or interferes with work may constitute bullying or harassment. Incidents should be reported promptly.</x:v>
      </x:c>
      <x:c r="H158" s="25" t="str">
        <x:f>IF(ISNUMBER(SEARCH("Legacy translation mismatch",$I158)),"Review: legacy mismatch",IF(G158="","Missing",IF(TRIM(G158)=TRIM(D158),"Review: same as English","Translated")))</x:f>
        <x:v>Review: same as English</x:v>
      </x:c>
      <x:c r="I158" s="27" t="str"/>
    </x:row>
    <x:row r="159" ht="34" customHeight="1">
      <x:c r="A159" s="25" t="n">
        <x:v>19</x:v>
      </x:c>
      <x:c r="B159" s="25" t="str">
        <x:v>handbookSource</x:v>
      </x:c>
      <x:c r="C159" s="25" t="str">
        <x:v>Handbook source citation | Code of Conduct and Ethics</x:v>
      </x:c>
      <x:c r="D159" s="25" t="str">
        <x:v>Part 9, Anti-Harassment and Anti-Bullying Policies (PDF pp. 53-54)</x:v>
      </x:c>
      <x:c r="E159" s="27" t="str">
        <x:v>Part 9, Anti-Harassment and Anti-Bullying Policies (PDF pp. 53-54)</x:v>
      </x:c>
      <x:c r="F159" s="25" t="str">
        <x:f>IF(ISNUMBER(SEARCH("Legacy translation mismatch",$I159)),"Review: legacy mismatch",IF(E159="","Missing",IF(TRIM(E159)=TRIM(D159),"Review: same as English","Translated")))</x:f>
        <x:v>Review: same as English</x:v>
      </x:c>
      <x:c r="G159" s="27" t="str">
        <x:v>Part 9, Anti-Harassment and Anti-Bullying Policies (PDF pp. 53-54)</x:v>
      </x:c>
      <x:c r="H159" s="25" t="str">
        <x:f>IF(ISNUMBER(SEARCH("Legacy translation mismatch",$I159)),"Review: legacy mismatch",IF(G159="","Missing",IF(TRIM(G159)=TRIM(D159),"Review: same as English","Translated")))</x:f>
        <x:v>Review: same as English</x:v>
      </x:c>
      <x:c r="I159" s="27" t="str"/>
    </x:row>
    <x:row r="160" ht="48" customHeight="1">
      <x:c r="A160" s="25" t="n">
        <x:v>20</x:v>
      </x:c>
      <x:c r="B160" s="25" t="str">
        <x:v>question</x:v>
      </x:c>
      <x:c r="C160" s="25" t="str">
        <x:v>Question text | Code of Conduct and Ethics</x:v>
      </x:c>
      <x:c r="D160" s="25" t="str">
        <x:v>A vendor offers you cash after you influence a purchasing decision in the vendor's favour. What should you do?</x:v>
      </x:c>
      <x:c r="E160" s="27" t="str">
        <x:v>A vendor offers you cash after you influence a purchasing decision in the vendor's favour. What should you do?</x:v>
      </x:c>
      <x:c r="F160" s="25" t="str">
        <x:f>IF(ISNUMBER(SEARCH("Legacy translation mismatch",$I160)),"Review: legacy mismatch",IF(E160="","Missing",IF(TRIM(E160)=TRIM(D160),"Review: same as English","Translated")))</x:f>
        <x:v>Review: same as English</x:v>
      </x:c>
      <x:c r="G160" s="27" t="str">
        <x:v>A vendor offers you cash after you influence a purchasing decision in the vendor's favour. What should you do?</x:v>
      </x:c>
      <x:c r="H160" s="25" t="str">
        <x:f>IF(ISNUMBER(SEARCH("Legacy translation mismatch",$I160)),"Review: legacy mismatch",IF(G160="","Missing",IF(TRIM(G160)=TRIM(D160),"Review: same as English","Translated")))</x:f>
        <x:v>Review: same as English</x:v>
      </x:c>
      <x:c r="I160" s="27" t="str">
        <x:v>Question translation is not currently provided.</x:v>
      </x:c>
    </x:row>
    <x:row r="161" ht="34" customHeight="1">
      <x:c r="A161" s="25" t="n">
        <x:v>20</x:v>
      </x:c>
      <x:c r="B161" s="25" t="str">
        <x:v>category</x:v>
      </x:c>
      <x:c r="C161" s="25" t="str">
        <x:v>Category label | Code of Conduct and Ethics</x:v>
      </x:c>
      <x:c r="D161" s="25" t="str">
        <x:v>Code of Conduct and Ethics</x:v>
      </x:c>
      <x:c r="E161" s="27" t="str">
        <x:v>Code of Conduct and Ethics</x:v>
      </x:c>
      <x:c r="F161" s="25" t="str">
        <x:f>IF(ISNUMBER(SEARCH("Legacy translation mismatch",$I161)),"Review: legacy mismatch",IF(E161="","Missing",IF(TRIM(E161)=TRIM(D161),"Review: same as English","Translated")))</x:f>
        <x:v>Review: same as English</x:v>
      </x:c>
      <x:c r="G161" s="27" t="str">
        <x:v>Code of Conduct and Ethics</x:v>
      </x:c>
      <x:c r="H161" s="25" t="str">
        <x:f>IF(ISNUMBER(SEARCH("Legacy translation mismatch",$I161)),"Review: legacy mismatch",IF(G161="","Missing",IF(TRIM(G161)=TRIM(D161),"Review: same as English","Translated")))</x:f>
        <x:v>Review: same as English</x:v>
      </x:c>
      <x:c r="I161" s="27" t="str"/>
    </x:row>
    <x:row r="162" ht="34" customHeight="1">
      <x:c r="A162" s="25" t="n">
        <x:v>20</x:v>
      </x:c>
      <x:c r="B162" s="25" t="str">
        <x:v>options[0]</x:v>
      </x:c>
      <x:c r="C162" s="25" t="str">
        <x:v>Answer option 1 | Code of Conduct and Ethics</x:v>
      </x:c>
      <x:c r="D162" s="25" t="str">
        <x:v>A. Accept it if the amount is modest.</x:v>
      </x:c>
      <x:c r="E162" s="27" t="str">
        <x:v>A. Accept it if the amount is modest.</x:v>
      </x:c>
      <x:c r="F162" s="25" t="str">
        <x:f>IF(ISNUMBER(SEARCH("Legacy translation mismatch",$I162)),"Review: legacy mismatch",IF(E162="","Missing",IF(TRIM(E162)=TRIM(D162),"Review: same as English","Translated")))</x:f>
        <x:v>Review: same as English</x:v>
      </x:c>
      <x:c r="G162" s="27" t="str">
        <x:v>A. Accept it if the amount is modest.</x:v>
      </x:c>
      <x:c r="H162" s="25" t="str">
        <x:f>IF(ISNUMBER(SEARCH("Legacy translation mismatch",$I162)),"Review: legacy mismatch",IF(G162="","Missing",IF(TRIM(G162)=TRIM(D162),"Review: same as English","Translated")))</x:f>
        <x:v>Review: same as English</x:v>
      </x:c>
      <x:c r="I162" s="27" t="str"/>
    </x:row>
    <x:row r="163" ht="34" customHeight="1">
      <x:c r="A163" s="25" t="n">
        <x:v>20</x:v>
      </x:c>
      <x:c r="B163" s="25" t="str">
        <x:v>options[1]</x:v>
      </x:c>
      <x:c r="C163" s="25" t="str">
        <x:v>Answer option 2 | Code of Conduct and Ethics</x:v>
      </x:c>
      <x:c r="D163" s="25" t="str">
        <x:v>B. Decline it and report the suspected improper influence.</x:v>
      </x:c>
      <x:c r="E163" s="27" t="str">
        <x:v>B. Decline it and report the suspected improper influence.</x:v>
      </x:c>
      <x:c r="F163" s="25" t="str">
        <x:f>IF(ISNUMBER(SEARCH("Legacy translation mismatch",$I163)),"Review: legacy mismatch",IF(E163="","Missing",IF(TRIM(E163)=TRIM(D163),"Review: same as English","Translated")))</x:f>
        <x:v>Review: same as English</x:v>
      </x:c>
      <x:c r="G163" s="27" t="str">
        <x:v>B. Decline it and report the suspected improper influence.</x:v>
      </x:c>
      <x:c r="H163" s="25" t="str">
        <x:f>IF(ISNUMBER(SEARCH("Legacy translation mismatch",$I163)),"Review: legacy mismatch",IF(G163="","Missing",IF(TRIM(G163)=TRIM(D163),"Review: same as English","Translated")))</x:f>
        <x:v>Review: same as English</x:v>
      </x:c>
      <x:c r="I163" s="27" t="str"/>
    </x:row>
    <x:row r="164" ht="34" customHeight="1">
      <x:c r="A164" s="25" t="n">
        <x:v>20</x:v>
      </x:c>
      <x:c r="B164" s="25" t="str">
        <x:v>options[2]</x:v>
      </x:c>
      <x:c r="C164" s="25" t="str">
        <x:v>Answer option 3 | Code of Conduct and Ethics</x:v>
      </x:c>
      <x:c r="D164" s="25" t="str">
        <x:v>C. Accept it and share it with the project team.</x:v>
      </x:c>
      <x:c r="E164" s="27" t="str">
        <x:v>C. Accept it and share it with the project team.</x:v>
      </x:c>
      <x:c r="F164" s="25" t="str">
        <x:f>IF(ISNUMBER(SEARCH("Legacy translation mismatch",$I164)),"Review: legacy mismatch",IF(E164="","Missing",IF(TRIM(E164)=TRIM(D164),"Review: same as English","Translated")))</x:f>
        <x:v>Review: same as English</x:v>
      </x:c>
      <x:c r="G164" s="27" t="str">
        <x:v>C. Accept it and share it with the project team.</x:v>
      </x:c>
      <x:c r="H164" s="25" t="str">
        <x:f>IF(ISNUMBER(SEARCH("Legacy translation mismatch",$I164)),"Review: legacy mismatch",IF(G164="","Missing",IF(TRIM(G164)=TRIM(D164),"Review: same as English","Translated")))</x:f>
        <x:v>Review: same as English</x:v>
      </x:c>
      <x:c r="I164" s="27" t="str"/>
    </x:row>
    <x:row r="165" ht="34" customHeight="1">
      <x:c r="A165" s="25" t="n">
        <x:v>20</x:v>
      </x:c>
      <x:c r="B165" s="25" t="str">
        <x:v>options[3]</x:v>
      </x:c>
      <x:c r="C165" s="25" t="str">
        <x:v>Answer option 4 | Code of Conduct and Ethics</x:v>
      </x:c>
      <x:c r="D165" s="25" t="str">
        <x:v>D. Convert it into a personal gift voucher.</x:v>
      </x:c>
      <x:c r="E165" s="27" t="str">
        <x:v>D. Convert it into a personal gift voucher.</x:v>
      </x:c>
      <x:c r="F165" s="25" t="str">
        <x:f>IF(ISNUMBER(SEARCH("Legacy translation mismatch",$I165)),"Review: legacy mismatch",IF(E165="","Missing",IF(TRIM(E165)=TRIM(D165),"Review: same as English","Translated")))</x:f>
        <x:v>Review: same as English</x:v>
      </x:c>
      <x:c r="G165" s="27" t="str">
        <x:v>D. Convert it into a personal gift voucher.</x:v>
      </x:c>
      <x:c r="H165" s="25" t="str">
        <x:f>IF(ISNUMBER(SEARCH("Legacy translation mismatch",$I165)),"Review: legacy mismatch",IF(G165="","Missing",IF(TRIM(G165)=TRIM(D165),"Review: same as English","Translated")))</x:f>
        <x:v>Review: same as English</x:v>
      </x:c>
      <x:c r="I165" s="27" t="str"/>
    </x:row>
    <x:row r="166" ht="62" customHeight="1">
      <x:c r="A166" s="25" t="n">
        <x:v>20</x:v>
      </x:c>
      <x:c r="B166" s="25" t="str">
        <x:v>explanation</x:v>
      </x:c>
      <x:c r="C166" s="25" t="str">
        <x:v>Answer explanation | Code of Conduct and Ethics</x:v>
      </x:c>
      <x:c r="D166" s="25" t="str">
        <x:v>Employees must not accept cash or inducements intended to influence decisions. Suspected corruption must be reported immediately.</x:v>
      </x:c>
      <x:c r="E166" s="27" t="str">
        <x:v>Employees must not accept cash or inducements intended to influence decisions. Suspected corruption must be reported immediately.</x:v>
      </x:c>
      <x:c r="F166" s="25" t="str">
        <x:f>IF(ISNUMBER(SEARCH("Legacy translation mismatch",$I166)),"Review: legacy mismatch",IF(E166="","Missing",IF(TRIM(E166)=TRIM(D166),"Review: same as English","Translated")))</x:f>
        <x:v>Review: same as English</x:v>
      </x:c>
      <x:c r="G166" s="27" t="str">
        <x:v>Employees must not accept cash or inducements intended to influence decisions. Suspected corruption must be reported immediately.</x:v>
      </x:c>
      <x:c r="H166" s="25" t="str">
        <x:f>IF(ISNUMBER(SEARCH("Legacy translation mismatch",$I166)),"Review: legacy mismatch",IF(G166="","Missing",IF(TRIM(G166)=TRIM(D166),"Review: same as English","Translated")))</x:f>
        <x:v>Review: same as English</x:v>
      </x:c>
      <x:c r="I166" s="27" t="str"/>
    </x:row>
    <x:row r="167" ht="34" customHeight="1">
      <x:c r="A167" s="25" t="n">
        <x:v>20</x:v>
      </x:c>
      <x:c r="B167" s="25" t="str">
        <x:v>handbookSource</x:v>
      </x:c>
      <x:c r="C167" s="25" t="str">
        <x:v>Handbook source citation | Code of Conduct and Ethics</x:v>
      </x:c>
      <x:c r="D167" s="25" t="str">
        <x:v>Part 9, Gift and Hospitality and Anti-Bribery Policies (PDF pp. 55-56)</x:v>
      </x:c>
      <x:c r="E167" s="27" t="str">
        <x:v>Part 9, Gift and Hospitality and Anti-Bribery Policies (PDF pp. 55-56)</x:v>
      </x:c>
      <x:c r="F167" s="25" t="str">
        <x:f>IF(ISNUMBER(SEARCH("Legacy translation mismatch",$I167)),"Review: legacy mismatch",IF(E167="","Missing",IF(TRIM(E167)=TRIM(D167),"Review: same as English","Translated")))</x:f>
        <x:v>Review: same as English</x:v>
      </x:c>
      <x:c r="G167" s="27" t="str">
        <x:v>Part 9, Gift and Hospitality and Anti-Bribery Policies (PDF pp. 55-56)</x:v>
      </x:c>
      <x:c r="H167" s="25" t="str">
        <x:f>IF(ISNUMBER(SEARCH("Legacy translation mismatch",$I167)),"Review: legacy mismatch",IF(G167="","Missing",IF(TRIM(G167)=TRIM(D167),"Review: same as English","Translated")))</x:f>
        <x:v>Review: same as English</x:v>
      </x:c>
      <x:c r="I167" s="27" t="str"/>
    </x:row>
    <x:row r="168" ht="48" customHeight="1">
      <x:c r="A168" s="25" t="n">
        <x:v>21</x:v>
      </x:c>
      <x:c r="B168" s="25" t="str">
        <x:v>question</x:v>
      </x:c>
      <x:c r="C168" s="25" t="str">
        <x:v>Question text | Code of Conduct and Ethics</x:v>
      </x:c>
      <x:c r="D168" s="25" t="str">
        <x:v>You want to take regular freelance marketing work outside your Company duties. What must you do before accepting it?</x:v>
      </x:c>
      <x:c r="E168" s="27" t="str">
        <x:v>You want to take regular freelance marketing work outside your Company duties. What must you do before accepting it?</x:v>
      </x:c>
      <x:c r="F168" s="25" t="str">
        <x:f>IF(ISNUMBER(SEARCH("Legacy translation mismatch",$I168)),"Review: legacy mismatch",IF(E168="","Missing",IF(TRIM(E168)=TRIM(D168),"Review: same as English","Translated")))</x:f>
        <x:v>Review: same as English</x:v>
      </x:c>
      <x:c r="G168" s="27" t="str">
        <x:v>You want to take regular freelance marketing work outside your Company duties. What must you do before accepting it?</x:v>
      </x:c>
      <x:c r="H168" s="25" t="str">
        <x:f>IF(ISNUMBER(SEARCH("Legacy translation mismatch",$I168)),"Review: legacy mismatch",IF(G168="","Missing",IF(TRIM(G168)=TRIM(D168),"Review: same as English","Translated")))</x:f>
        <x:v>Review: same as English</x:v>
      </x:c>
      <x:c r="I168" s="27" t="str">
        <x:v>Question translation is not currently provided.</x:v>
      </x:c>
    </x:row>
    <x:row r="169" ht="34" customHeight="1">
      <x:c r="A169" s="25" t="n">
        <x:v>21</x:v>
      </x:c>
      <x:c r="B169" s="25" t="str">
        <x:v>category</x:v>
      </x:c>
      <x:c r="C169" s="25" t="str">
        <x:v>Category label | Code of Conduct and Ethics</x:v>
      </x:c>
      <x:c r="D169" s="25" t="str">
        <x:v>Code of Conduct and Ethics</x:v>
      </x:c>
      <x:c r="E169" s="27" t="str">
        <x:v>Code of Conduct and Ethics</x:v>
      </x:c>
      <x:c r="F169" s="25" t="str">
        <x:f>IF(ISNUMBER(SEARCH("Legacy translation mismatch",$I169)),"Review: legacy mismatch",IF(E169="","Missing",IF(TRIM(E169)=TRIM(D169),"Review: same as English","Translated")))</x:f>
        <x:v>Review: same as English</x:v>
      </x:c>
      <x:c r="G169" s="27" t="str">
        <x:v>Code of Conduct and Ethics</x:v>
      </x:c>
      <x:c r="H169" s="25" t="str">
        <x:f>IF(ISNUMBER(SEARCH("Legacy translation mismatch",$I169)),"Review: legacy mismatch",IF(G169="","Missing",IF(TRIM(G169)=TRIM(D169),"Review: same as English","Translated")))</x:f>
        <x:v>Review: same as English</x:v>
      </x:c>
      <x:c r="I169" s="27" t="str"/>
    </x:row>
    <x:row r="170" ht="34" customHeight="1">
      <x:c r="A170" s="25" t="n">
        <x:v>21</x:v>
      </x:c>
      <x:c r="B170" s="25" t="str">
        <x:v>options[0]</x:v>
      </x:c>
      <x:c r="C170" s="25" t="str">
        <x:v>Answer option 1 | Code of Conduct and Ethics</x:v>
      </x:c>
      <x:c r="D170" s="25" t="str">
        <x:v>A. Obtain prior written approval from Management.</x:v>
      </x:c>
      <x:c r="E170" s="27" t="str">
        <x:v>A. Obtain prior written approval from Management.</x:v>
      </x:c>
      <x:c r="F170" s="25" t="str">
        <x:f>IF(ISNUMBER(SEARCH("Legacy translation mismatch",$I170)),"Review: legacy mismatch",IF(E170="","Missing",IF(TRIM(E170)=TRIM(D170),"Review: same as English","Translated")))</x:f>
        <x:v>Review: same as English</x:v>
      </x:c>
      <x:c r="G170" s="27" t="str">
        <x:v>A. Obtain prior written approval from Management.</x:v>
      </x:c>
      <x:c r="H170" s="25" t="str">
        <x:f>IF(ISNUMBER(SEARCH("Legacy translation mismatch",$I170)),"Review: legacy mismatch",IF(G170="","Missing",IF(TRIM(G170)=TRIM(D170),"Review: same as English","Translated")))</x:f>
        <x:v>Review: same as English</x:v>
      </x:c>
      <x:c r="I170" s="27" t="str"/>
    </x:row>
    <x:row r="171" ht="34" customHeight="1">
      <x:c r="A171" s="25" t="n">
        <x:v>21</x:v>
      </x:c>
      <x:c r="B171" s="25" t="str">
        <x:v>options[1]</x:v>
      </x:c>
      <x:c r="C171" s="25" t="str">
        <x:v>Answer option 2 | Code of Conduct and Ethics</x:v>
      </x:c>
      <x:c r="D171" s="25" t="str">
        <x:v>B. Tell only your closest colleague.</x:v>
      </x:c>
      <x:c r="E171" s="27" t="str">
        <x:v>B. Tell only your closest colleague.</x:v>
      </x:c>
      <x:c r="F171" s="25" t="str">
        <x:f>IF(ISNUMBER(SEARCH("Legacy translation mismatch",$I171)),"Review: legacy mismatch",IF(E171="","Missing",IF(TRIM(E171)=TRIM(D171),"Review: same as English","Translated")))</x:f>
        <x:v>Review: same as English</x:v>
      </x:c>
      <x:c r="G171" s="27" t="str">
        <x:v>B. Tell only your closest colleague.</x:v>
      </x:c>
      <x:c r="H171" s="25" t="str">
        <x:f>IF(ISNUMBER(SEARCH("Legacy translation mismatch",$I171)),"Review: legacy mismatch",IF(G171="","Missing",IF(TRIM(G171)=TRIM(D171),"Review: same as English","Translated")))</x:f>
        <x:v>Review: same as English</x:v>
      </x:c>
      <x:c r="I171" s="27" t="str"/>
    </x:row>
    <x:row r="172" ht="34" customHeight="1">
      <x:c r="A172" s="25" t="n">
        <x:v>21</x:v>
      </x:c>
      <x:c r="B172" s="25" t="str">
        <x:v>options[2]</x:v>
      </x:c>
      <x:c r="C172" s="25" t="str">
        <x:v>Answer option 3 | Code of Conduct and Ethics</x:v>
      </x:c>
      <x:c r="D172" s="25" t="str">
        <x:v>C. Accept it if the work is completed outside office hours.</x:v>
      </x:c>
      <x:c r="E172" s="27" t="str">
        <x:v>C. Accept it if the work is completed outside office hours.</x:v>
      </x:c>
      <x:c r="F172" s="25" t="str">
        <x:f>IF(ISNUMBER(SEARCH("Legacy translation mismatch",$I172)),"Review: legacy mismatch",IF(E172="","Missing",IF(TRIM(E172)=TRIM(D172),"Review: same as English","Translated")))</x:f>
        <x:v>Review: same as English</x:v>
      </x:c>
      <x:c r="G172" s="27" t="str">
        <x:v>C. Accept it if the work is completed outside office hours.</x:v>
      </x:c>
      <x:c r="H172" s="25" t="str">
        <x:f>IF(ISNUMBER(SEARCH("Legacy translation mismatch",$I172)),"Review: legacy mismatch",IF(G172="","Missing",IF(TRIM(G172)=TRIM(D172),"Review: same as English","Translated")))</x:f>
        <x:v>Review: same as English</x:v>
      </x:c>
      <x:c r="I172" s="27" t="str"/>
    </x:row>
    <x:row r="173" ht="34" customHeight="1">
      <x:c r="A173" s="25" t="n">
        <x:v>21</x:v>
      </x:c>
      <x:c r="B173" s="25" t="str">
        <x:v>options[3]</x:v>
      </x:c>
      <x:c r="C173" s="25" t="str">
        <x:v>Answer option 4 | Code of Conduct and Ethics</x:v>
      </x:c>
      <x:c r="D173" s="25" t="str">
        <x:v>D. Use annual leave for the freelance work without disclosing it.</x:v>
      </x:c>
      <x:c r="E173" s="27" t="str">
        <x:v>D. Use annual leave for the freelance work without disclosing it.</x:v>
      </x:c>
      <x:c r="F173" s="25" t="str">
        <x:f>IF(ISNUMBER(SEARCH("Legacy translation mismatch",$I173)),"Review: legacy mismatch",IF(E173="","Missing",IF(TRIM(E173)=TRIM(D173),"Review: same as English","Translated")))</x:f>
        <x:v>Review: same as English</x:v>
      </x:c>
      <x:c r="G173" s="27" t="str">
        <x:v>D. Use annual leave for the freelance work without disclosing it.</x:v>
      </x:c>
      <x:c r="H173" s="25" t="str">
        <x:f>IF(ISNUMBER(SEARCH("Legacy translation mismatch",$I173)),"Review: legacy mismatch",IF(G173="","Missing",IF(TRIM(G173)=TRIM(D173),"Review: same as English","Translated")))</x:f>
        <x:v>Review: same as English</x:v>
      </x:c>
      <x:c r="I173" s="27" t="str"/>
    </x:row>
    <x:row r="174" ht="62" customHeight="1">
      <x:c r="A174" s="25" t="n">
        <x:v>21</x:v>
      </x:c>
      <x:c r="B174" s="25" t="str">
        <x:v>explanation</x:v>
      </x:c>
      <x:c r="C174" s="25" t="str">
        <x:v>Answer explanation | Code of Conduct and Ethics</x:v>
      </x:c>
      <x:c r="D174" s="25" t="str">
        <x:v>Employees intending to undertake outside employment, freelance work or a business must obtain prior written Management approval.</x:v>
      </x:c>
      <x:c r="E174" s="27" t="str">
        <x:v>Employees intending to undertake outside employment, freelance work or a business must obtain prior written Management approval.</x:v>
      </x:c>
      <x:c r="F174" s="25" t="str">
        <x:f>IF(ISNUMBER(SEARCH("Legacy translation mismatch",$I174)),"Review: legacy mismatch",IF(E174="","Missing",IF(TRIM(E174)=TRIM(D174),"Review: same as English","Translated")))</x:f>
        <x:v>Review: same as English</x:v>
      </x:c>
      <x:c r="G174" s="27" t="str">
        <x:v>Employees intending to undertake outside employment, freelance work or a business must obtain prior written Management approval.</x:v>
      </x:c>
      <x:c r="H174" s="25" t="str">
        <x:f>IF(ISNUMBER(SEARCH("Legacy translation mismatch",$I174)),"Review: legacy mismatch",IF(G174="","Missing",IF(TRIM(G174)=TRIM(D174),"Review: same as English","Translated")))</x:f>
        <x:v>Review: same as English</x:v>
      </x:c>
      <x:c r="I174" s="27" t="str"/>
    </x:row>
    <x:row r="175" ht="34" customHeight="1">
      <x:c r="A175" s="25" t="n">
        <x:v>21</x:v>
      </x:c>
      <x:c r="B175" s="25" t="str">
        <x:v>handbookSource</x:v>
      </x:c>
      <x:c r="C175" s="25" t="str">
        <x:v>Handbook source citation | Code of Conduct and Ethics</x:v>
      </x:c>
      <x:c r="D175" s="25" t="str">
        <x:v>Part 9, Outside Employment Policy (PDF p. 57)</x:v>
      </x:c>
      <x:c r="E175" s="27" t="str">
        <x:v>Part 9, Outside Employment Policy (PDF p. 57)</x:v>
      </x:c>
      <x:c r="F175" s="25" t="str">
        <x:f>IF(ISNUMBER(SEARCH("Legacy translation mismatch",$I175)),"Review: legacy mismatch",IF(E175="","Missing",IF(TRIM(E175)=TRIM(D175),"Review: same as English","Translated")))</x:f>
        <x:v>Review: same as English</x:v>
      </x:c>
      <x:c r="G175" s="27" t="str">
        <x:v>Part 9, Outside Employment Policy (PDF p. 57)</x:v>
      </x:c>
      <x:c r="H175" s="25" t="str">
        <x:f>IF(ISNUMBER(SEARCH("Legacy translation mismatch",$I175)),"Review: legacy mismatch",IF(G175="","Missing",IF(TRIM(G175)=TRIM(D175),"Review: same as English","Translated")))</x:f>
        <x:v>Review: same as English</x:v>
      </x:c>
      <x:c r="I175" s="27" t="str"/>
    </x:row>
    <x:row r="176" ht="90" customHeight="1">
      <x:c r="A176" s="25" t="n">
        <x:v>22</x:v>
      </x:c>
      <x:c r="B176" s="25" t="str">
        <x:v>question</x:v>
      </x:c>
      <x:c r="C176" s="25" t="str">
        <x:v>Question text | Code of Conduct and Ethics</x:v>
      </x:c>
      <x:c r="D176" s="25" t="str">
        <x:v>True or False: An employee who makes a good-faith report of suspected misconduct may report to a Supervisor, HR, Management or a designated reporting channel, and the Company will endeavour to protect the employee from retaliation.</x:v>
      </x:c>
      <x:c r="E176" s="27" t="str">
        <x:v>True or False: An employee who makes a good-faith report of suspected misconduct may report to a Supervisor, HR, Management or a designated reporting channel, and the Company will endeavour to protect the employee from retaliation.</x:v>
      </x:c>
      <x:c r="F176" s="25" t="str">
        <x:f>IF(ISNUMBER(SEARCH("Legacy translation mismatch",$I176)),"Review: legacy mismatch",IF(E176="","Missing",IF(TRIM(E176)=TRIM(D176),"Review: same as English","Translated")))</x:f>
        <x:v>Review: same as English</x:v>
      </x:c>
      <x:c r="G176" s="27" t="str">
        <x:v>True or False: An employee who makes a good-faith report of suspected misconduct may report to a Supervisor, HR, Management or a designated reporting channel, and the Company will endeavour to protect the employee from retaliation.</x:v>
      </x:c>
      <x:c r="H176" s="25" t="str">
        <x:f>IF(ISNUMBER(SEARCH("Legacy translation mismatch",$I176)),"Review: legacy mismatch",IF(G176="","Missing",IF(TRIM(G176)=TRIM(D176),"Review: same as English","Translated")))</x:f>
        <x:v>Review: same as English</x:v>
      </x:c>
      <x:c r="I176" s="27" t="str">
        <x:v>Question translation is not currently provided.</x:v>
      </x:c>
    </x:row>
    <x:row r="177" ht="34" customHeight="1">
      <x:c r="A177" s="25" t="n">
        <x:v>22</x:v>
      </x:c>
      <x:c r="B177" s="25" t="str">
        <x:v>category</x:v>
      </x:c>
      <x:c r="C177" s="25" t="str">
        <x:v>Category label | Code of Conduct and Ethics</x:v>
      </x:c>
      <x:c r="D177" s="25" t="str">
        <x:v>Code of Conduct and Ethics</x:v>
      </x:c>
      <x:c r="E177" s="27" t="str">
        <x:v>Code of Conduct and Ethics</x:v>
      </x:c>
      <x:c r="F177" s="25" t="str">
        <x:f>IF(ISNUMBER(SEARCH("Legacy translation mismatch",$I177)),"Review: legacy mismatch",IF(E177="","Missing",IF(TRIM(E177)=TRIM(D177),"Review: same as English","Translated")))</x:f>
        <x:v>Review: same as English</x:v>
      </x:c>
      <x:c r="G177" s="27" t="str">
        <x:v>Code of Conduct and Ethics</x:v>
      </x:c>
      <x:c r="H177" s="25" t="str">
        <x:f>IF(ISNUMBER(SEARCH("Legacy translation mismatch",$I177)),"Review: legacy mismatch",IF(G177="","Missing",IF(TRIM(G177)=TRIM(D177),"Review: same as English","Translated")))</x:f>
        <x:v>Review: same as English</x:v>
      </x:c>
      <x:c r="I177" s="27" t="str"/>
    </x:row>
    <x:row r="178" ht="34" customHeight="1">
      <x:c r="A178" s="25" t="n">
        <x:v>22</x:v>
      </x:c>
      <x:c r="B178" s="25" t="str">
        <x:v>options[0]</x:v>
      </x:c>
      <x:c r="C178" s="25" t="str">
        <x:v>Answer option 1 | Code of Conduct and Ethics</x:v>
      </x:c>
      <x:c r="D178" s="25" t="str">
        <x:v>A. True</x:v>
      </x:c>
      <x:c r="E178" s="27" t="str">
        <x:v>A. True</x:v>
      </x:c>
      <x:c r="F178" s="25" t="str">
        <x:f>IF(ISNUMBER(SEARCH("Legacy translation mismatch",$I178)),"Review: legacy mismatch",IF(E178="","Missing",IF(TRIM(E178)=TRIM(D178),"Review: same as English","Translated")))</x:f>
        <x:v>Review: same as English</x:v>
      </x:c>
      <x:c r="G178" s="27" t="str">
        <x:v>A. True</x:v>
      </x:c>
      <x:c r="H178" s="25" t="str">
        <x:f>IF(ISNUMBER(SEARCH("Legacy translation mismatch",$I178)),"Review: legacy mismatch",IF(G178="","Missing",IF(TRIM(G178)=TRIM(D178),"Review: same as English","Translated")))</x:f>
        <x:v>Review: same as English</x:v>
      </x:c>
      <x:c r="I178" s="27" t="str"/>
    </x:row>
    <x:row r="179" ht="34" customHeight="1">
      <x:c r="A179" s="25" t="n">
        <x:v>22</x:v>
      </x:c>
      <x:c r="B179" s="25" t="str">
        <x:v>options[1]</x:v>
      </x:c>
      <x:c r="C179" s="25" t="str">
        <x:v>Answer option 2 | Code of Conduct and Ethics</x:v>
      </x:c>
      <x:c r="D179" s="25" t="str">
        <x:v>B. False</x:v>
      </x:c>
      <x:c r="E179" s="27" t="str">
        <x:v>B. False</x:v>
      </x:c>
      <x:c r="F179" s="25" t="str">
        <x:f>IF(ISNUMBER(SEARCH("Legacy translation mismatch",$I179)),"Review: legacy mismatch",IF(E179="","Missing",IF(TRIM(E179)=TRIM(D179),"Review: same as English","Translated")))</x:f>
        <x:v>Review: same as English</x:v>
      </x:c>
      <x:c r="G179" s="27" t="str">
        <x:v>B. False</x:v>
      </x:c>
      <x:c r="H179" s="25" t="str">
        <x:f>IF(ISNUMBER(SEARCH("Legacy translation mismatch",$I179)),"Review: legacy mismatch",IF(G179="","Missing",IF(TRIM(G179)=TRIM(D179),"Review: same as English","Translated")))</x:f>
        <x:v>Review: same as English</x:v>
      </x:c>
      <x:c r="I179" s="27" t="str"/>
    </x:row>
    <x:row r="180" ht="76" customHeight="1">
      <x:c r="A180" s="25" t="n">
        <x:v>22</x:v>
      </x:c>
      <x:c r="B180" s="25" t="str">
        <x:v>explanation</x:v>
      </x:c>
      <x:c r="C180" s="25" t="str">
        <x:v>Answer explanation | Code of Conduct and Ethics</x:v>
      </x:c>
      <x:c r="D180" s="25" t="str">
        <x:v>The Whistleblowing Policy lists these reporting routes and provides for confidentiality and protection from retaliation for good-faith reports. False and malicious allegations may result in discipline.</x:v>
      </x:c>
      <x:c r="E180" s="27" t="str">
        <x:v>The Whistleblowing Policy lists these reporting routes and provides for confidentiality and protection from retaliation for good-faith reports. False and malicious allegations may result in discipline.</x:v>
      </x:c>
      <x:c r="F180" s="25" t="str">
        <x:f>IF(ISNUMBER(SEARCH("Legacy translation mismatch",$I180)),"Review: legacy mismatch",IF(E180="","Missing",IF(TRIM(E180)=TRIM(D180),"Review: same as English","Translated")))</x:f>
        <x:v>Review: same as English</x:v>
      </x:c>
      <x:c r="G180" s="27" t="str">
        <x:v>The Whistleblowing Policy lists these reporting routes and provides for confidentiality and protection from retaliation for good-faith reports. False and malicious allegations may result in discipline.</x:v>
      </x:c>
      <x:c r="H180" s="25" t="str">
        <x:f>IF(ISNUMBER(SEARCH("Legacy translation mismatch",$I180)),"Review: legacy mismatch",IF(G180="","Missing",IF(TRIM(G180)=TRIM(D180),"Review: same as English","Translated")))</x:f>
        <x:v>Review: same as English</x:v>
      </x:c>
      <x:c r="I180" s="27" t="str"/>
    </x:row>
    <x:row r="181" ht="34" customHeight="1">
      <x:c r="A181" s="25" t="n">
        <x:v>22</x:v>
      </x:c>
      <x:c r="B181" s="25" t="str">
        <x:v>handbookSource</x:v>
      </x:c>
      <x:c r="C181" s="25" t="str">
        <x:v>Handbook source citation | Code of Conduct and Ethics</x:v>
      </x:c>
      <x:c r="D181" s="25" t="str">
        <x:v>Part 9, Whistleblowing Policy (PDF pp. 56-57)</x:v>
      </x:c>
      <x:c r="E181" s="27" t="str">
        <x:v>Part 9, Whistleblowing Policy (PDF pp. 56-57)</x:v>
      </x:c>
      <x:c r="F181" s="25" t="str">
        <x:f>IF(ISNUMBER(SEARCH("Legacy translation mismatch",$I181)),"Review: legacy mismatch",IF(E181="","Missing",IF(TRIM(E181)=TRIM(D181),"Review: same as English","Translated")))</x:f>
        <x:v>Review: same as English</x:v>
      </x:c>
      <x:c r="G181" s="27" t="str">
        <x:v>Part 9, Whistleblowing Policy (PDF pp. 56-57)</x:v>
      </x:c>
      <x:c r="H181" s="25" t="str">
        <x:f>IF(ISNUMBER(SEARCH("Legacy translation mismatch",$I181)),"Review: legacy mismatch",IF(G181="","Missing",IF(TRIM(G181)=TRIM(D181),"Review: same as English","Translated")))</x:f>
        <x:v>Review: same as English</x:v>
      </x:c>
      <x:c r="I181" s="27" t="str"/>
    </x:row>
    <x:row r="182" ht="34" customHeight="1">
      <x:c r="A182" s="25" t="n">
        <x:v>23</x:v>
      </x:c>
      <x:c r="B182" s="25" t="str">
        <x:v>question</x:v>
      </x:c>
      <x:c r="C182" s="25" t="str">
        <x:v>Question text | Health, Safety and Emergency Procedures</x:v>
      </x:c>
      <x:c r="D182" s="25" t="str">
        <x:v>Which sequence correctly follows the Fire Evacuation Procedure?</x:v>
      </x:c>
      <x:c r="E182" s="27" t="str">
        <x:v>Which sequence correctly follows the Fire Evacuation Procedure?</x:v>
      </x:c>
      <x:c r="F182" s="25" t="str">
        <x:f>IF(ISNUMBER(SEARCH("Legacy translation mismatch",$I182)),"Review: legacy mismatch",IF(E182="","Missing",IF(TRIM(E182)=TRIM(D182),"Review: same as English","Translated")))</x:f>
        <x:v>Review: same as English</x:v>
      </x:c>
      <x:c r="G182" s="27" t="str">
        <x:v>Which sequence correctly follows the Fire Evacuation Procedure?</x:v>
      </x:c>
      <x:c r="H182" s="25" t="str">
        <x:f>IF(ISNUMBER(SEARCH("Legacy translation mismatch",$I182)),"Review: legacy mismatch",IF(G182="","Missing",IF(TRIM(G182)=TRIM(D182),"Review: same as English","Translated")))</x:f>
        <x:v>Review: same as English</x:v>
      </x:c>
      <x:c r="I182" s="27" t="str">
        <x:v>Question translation is not currently provided.</x:v>
      </x:c>
    </x:row>
    <x:row r="183" ht="34" customHeight="1">
      <x:c r="A183" s="25" t="n">
        <x:v>23</x:v>
      </x:c>
      <x:c r="B183" s="25" t="str">
        <x:v>category</x:v>
      </x:c>
      <x:c r="C183" s="25" t="str">
        <x:v>Category label | Health, Safety and Emergency Procedures</x:v>
      </x:c>
      <x:c r="D183" s="25" t="str">
        <x:v>Health, Safety and Emergency Procedures</x:v>
      </x:c>
      <x:c r="E183" s="27" t="str">
        <x:v>Health, Safety and Emergency Procedures</x:v>
      </x:c>
      <x:c r="F183" s="25" t="str">
        <x:f>IF(ISNUMBER(SEARCH("Legacy translation mismatch",$I183)),"Review: legacy mismatch",IF(E183="","Missing",IF(TRIM(E183)=TRIM(D183),"Review: same as English","Translated")))</x:f>
        <x:v>Review: same as English</x:v>
      </x:c>
      <x:c r="G183" s="27" t="str">
        <x:v>Health, Safety and Emergency Procedures</x:v>
      </x:c>
      <x:c r="H183" s="25" t="str">
        <x:f>IF(ISNUMBER(SEARCH("Legacy translation mismatch",$I183)),"Review: legacy mismatch",IF(G183="","Missing",IF(TRIM(G183)=TRIM(D183),"Review: same as English","Translated")))</x:f>
        <x:v>Review: same as English</x:v>
      </x:c>
      <x:c r="I183" s="27" t="str"/>
    </x:row>
    <x:row r="184" ht="62" customHeight="1">
      <x:c r="A184" s="25" t="n">
        <x:v>23</x:v>
      </x:c>
      <x:c r="B184" s="25" t="str">
        <x:v>options[0]</x:v>
      </x:c>
      <x:c r="C184" s="25" t="str">
        <x:v>Answer option 1 | Health, Safety and Emergency Procedures</x:v>
      </x:c>
      <x:c r="D184" s="25" t="str">
        <x:v>A. Activate alarm if safe -&gt; notify nearby people -&gt; use designated exit -&gt; go to assembly point -&gt; follow emergency instructions -&gt; re-enter only when authorised.</x:v>
      </x:c>
      <x:c r="E184" s="27" t="str">
        <x:v>A. Activate alarm if safe -&gt; notify nearby people -&gt; use designated exit -&gt; go to assembly point -&gt; follow emergency instructions -&gt; re-enter only when authorised.</x:v>
      </x:c>
      <x:c r="F184" s="25" t="str">
        <x:f>IF(ISNUMBER(SEARCH("Legacy translation mismatch",$I184)),"Review: legacy mismatch",IF(E184="","Missing",IF(TRIM(E184)=TRIM(D184),"Review: same as English","Translated")))</x:f>
        <x:v>Review: same as English</x:v>
      </x:c>
      <x:c r="G184" s="27" t="str">
        <x:v>A. Activate alarm if safe -&gt; notify nearby people -&gt; use designated exit -&gt; go to assembly point -&gt; follow emergency instructions -&gt; re-enter only when authorised.</x:v>
      </x:c>
      <x:c r="H184" s="25" t="str">
        <x:f>IF(ISNUMBER(SEARCH("Legacy translation mismatch",$I184)),"Review: legacy mismatch",IF(G184="","Missing",IF(TRIM(G184)=TRIM(D184),"Review: same as English","Translated")))</x:f>
        <x:v>Review: same as English</x:v>
      </x:c>
      <x:c r="I184" s="27" t="str"/>
    </x:row>
    <x:row r="185" ht="48" customHeight="1">
      <x:c r="A185" s="25" t="n">
        <x:v>23</x:v>
      </x:c>
      <x:c r="B185" s="25" t="str">
        <x:v>options[1]</x:v>
      </x:c>
      <x:c r="C185" s="25" t="str">
        <x:v>Answer option 2 | Health, Safety and Emergency Procedures</x:v>
      </x:c>
      <x:c r="D185" s="25" t="str">
        <x:v>B. Collect personal items -&gt; use the nearest lift -&gt; notify HR -&gt; wait outside the building entrance.</x:v>
      </x:c>
      <x:c r="E185" s="27" t="str">
        <x:v>B. Collect personal items -&gt; use the nearest lift -&gt; notify HR -&gt; wait outside the building entrance.</x:v>
      </x:c>
      <x:c r="F185" s="25" t="str">
        <x:f>IF(ISNUMBER(SEARCH("Legacy translation mismatch",$I185)),"Review: legacy mismatch",IF(E185="","Missing",IF(TRIM(E185)=TRIM(D185),"Review: same as English","Translated")))</x:f>
        <x:v>Review: same as English</x:v>
      </x:c>
      <x:c r="G185" s="27" t="str">
        <x:v>B. Collect personal items -&gt; use the nearest lift -&gt; notify HR -&gt; wait outside the building entrance.</x:v>
      </x:c>
      <x:c r="H185" s="25" t="str">
        <x:f>IF(ISNUMBER(SEARCH("Legacy translation mismatch",$I185)),"Review: legacy mismatch",IF(G185="","Missing",IF(TRIM(G185)=TRIM(D185),"Review: same as English","Translated")))</x:f>
        <x:v>Review: same as English</x:v>
      </x:c>
      <x:c r="I185" s="27" t="str"/>
    </x:row>
    <x:row r="186" ht="48" customHeight="1">
      <x:c r="A186" s="25" t="n">
        <x:v>23</x:v>
      </x:c>
      <x:c r="B186" s="25" t="str">
        <x:v>options[2]</x:v>
      </x:c>
      <x:c r="C186" s="25" t="str">
        <x:v>Answer option 3 | Health, Safety and Emergency Procedures</x:v>
      </x:c>
      <x:c r="D186" s="25" t="str">
        <x:v>C. Notify colleagues -&gt; finish urgent work -&gt; use any available route -&gt; return when smoke is no longer visible.</x:v>
      </x:c>
      <x:c r="E186" s="27" t="str">
        <x:v>C. Notify colleagues -&gt; finish urgent work -&gt; use any available route -&gt; return when smoke is no longer visible.</x:v>
      </x:c>
      <x:c r="F186" s="25" t="str">
        <x:f>IF(ISNUMBER(SEARCH("Legacy translation mismatch",$I186)),"Review: legacy mismatch",IF(E186="","Missing",IF(TRIM(E186)=TRIM(D186),"Review: same as English","Translated")))</x:f>
        <x:v>Review: same as English</x:v>
      </x:c>
      <x:c r="G186" s="27" t="str">
        <x:v>C. Notify colleagues -&gt; finish urgent work -&gt; use any available route -&gt; return when smoke is no longer visible.</x:v>
      </x:c>
      <x:c r="H186" s="25" t="str">
        <x:f>IF(ISNUMBER(SEARCH("Legacy translation mismatch",$I186)),"Review: legacy mismatch",IF(G186="","Missing",IF(TRIM(G186)=TRIM(D186),"Review: same as English","Translated")))</x:f>
        <x:v>Review: same as English</x:v>
      </x:c>
      <x:c r="I186" s="27" t="str"/>
    </x:row>
    <x:row r="187" ht="48" customHeight="1">
      <x:c r="A187" s="25" t="n">
        <x:v>23</x:v>
      </x:c>
      <x:c r="B187" s="25" t="str">
        <x:v>options[3]</x:v>
      </x:c>
      <x:c r="C187" s="25" t="str">
        <x:v>Answer option 4 | Health, Safety and Emergency Procedures</x:v>
      </x:c>
      <x:c r="D187" s="25" t="str">
        <x:v>D. Call the Supervisor -&gt; remain at the workstation -&gt; evacuate only after receiving a personal message.</x:v>
      </x:c>
      <x:c r="E187" s="27" t="str">
        <x:v>D. Call the Supervisor -&gt; remain at the workstation -&gt; evacuate only after receiving a personal message.</x:v>
      </x:c>
      <x:c r="F187" s="25" t="str">
        <x:f>IF(ISNUMBER(SEARCH("Legacy translation mismatch",$I187)),"Review: legacy mismatch",IF(E187="","Missing",IF(TRIM(E187)=TRIM(D187),"Review: same as English","Translated")))</x:f>
        <x:v>Review: same as English</x:v>
      </x:c>
      <x:c r="G187" s="27" t="str">
        <x:v>D. Call the Supervisor -&gt; remain at the workstation -&gt; evacuate only after receiving a personal message.</x:v>
      </x:c>
      <x:c r="H187" s="25" t="str">
        <x:f>IF(ISNUMBER(SEARCH("Legacy translation mismatch",$I187)),"Review: legacy mismatch",IF(G187="","Missing",IF(TRIM(G187)=TRIM(D187),"Review: same as English","Translated")))</x:f>
        <x:v>Review: same as English</x:v>
      </x:c>
      <x:c r="I187" s="27" t="str"/>
    </x:row>
    <x:row r="188" ht="76" customHeight="1">
      <x:c r="A188" s="25" t="n">
        <x:v>23</x:v>
      </x:c>
      <x:c r="B188" s="25" t="str">
        <x:v>explanation</x:v>
      </x:c>
      <x:c r="C188" s="25" t="str">
        <x:v>Answer explanation | Health, Safety and Emergency Procedures</x:v>
      </x:c>
      <x:c r="D188" s="25" t="str">
        <x:v>The procedure requires alarm activation if safe, warning others, immediate evacuation through designated exits without using lifts, assembly, following emergency personnel and no re-entry until authorised.</x:v>
      </x:c>
      <x:c r="E188" s="27" t="str">
        <x:v>The procedure requires alarm activation if safe, warning others, immediate evacuation through designated exits without using lifts, assembly, following emergency personnel and no re-entry until authorised.</x:v>
      </x:c>
      <x:c r="F188" s="25" t="str">
        <x:f>IF(ISNUMBER(SEARCH("Legacy translation mismatch",$I188)),"Review: legacy mismatch",IF(E188="","Missing",IF(TRIM(E188)=TRIM(D188),"Review: same as English","Translated")))</x:f>
        <x:v>Review: same as English</x:v>
      </x:c>
      <x:c r="G188" s="27" t="str">
        <x:v>The procedure requires alarm activation if safe, warning others, immediate evacuation through designated exits without using lifts, assembly, following emergency personnel and no re-entry until authorised.</x:v>
      </x:c>
      <x:c r="H188" s="25" t="str">
        <x:f>IF(ISNUMBER(SEARCH("Legacy translation mismatch",$I188)),"Review: legacy mismatch",IF(G188="","Missing",IF(TRIM(G188)=TRIM(D188),"Review: same as English","Translated")))</x:f>
        <x:v>Review: same as English</x:v>
      </x:c>
      <x:c r="I188" s="27" t="str"/>
    </x:row>
    <x:row r="189" ht="34" customHeight="1">
      <x:c r="A189" s="25" t="n">
        <x:v>23</x:v>
      </x:c>
      <x:c r="B189" s="25" t="str">
        <x:v>handbookSource</x:v>
      </x:c>
      <x:c r="C189" s="25" t="str">
        <x:v>Handbook source citation | Health, Safety and Emergency Procedures</x:v>
      </x:c>
      <x:c r="D189" s="25" t="str">
        <x:v>Part 11, Fire Evacuation Procedure (PDF p. 68)</x:v>
      </x:c>
      <x:c r="E189" s="27" t="str">
        <x:v>Part 11, Fire Evacuation Procedure (PDF p. 68)</x:v>
      </x:c>
      <x:c r="F189" s="25" t="str">
        <x:f>IF(ISNUMBER(SEARCH("Legacy translation mismatch",$I189)),"Review: legacy mismatch",IF(E189="","Missing",IF(TRIM(E189)=TRIM(D189),"Review: same as English","Translated")))</x:f>
        <x:v>Review: same as English</x:v>
      </x:c>
      <x:c r="G189" s="27" t="str">
        <x:v>Part 11, Fire Evacuation Procedure (PDF p. 68)</x:v>
      </x:c>
      <x:c r="H189" s="25" t="str">
        <x:f>IF(ISNUMBER(SEARCH("Legacy translation mismatch",$I189)),"Review: legacy mismatch",IF(G189="","Missing",IF(TRIM(G189)=TRIM(D189),"Review: same as English","Translated")))</x:f>
        <x:v>Review: same as English</x:v>
      </x:c>
      <x:c r="I189" s="27" t="str"/>
    </x:row>
    <x:row r="190" ht="48" customHeight="1">
      <x:c r="A190" s="25" t="n">
        <x:v>24</x:v>
      </x:c>
      <x:c r="B190" s="25" t="str">
        <x:v>question</x:v>
      </x:c>
      <x:c r="C190" s="25" t="str">
        <x:v>Question text | Health, Safety and Emergency Procedures</x:v>
      </x:c>
      <x:c r="D190" s="25" t="str">
        <x:v>During event setup, equipment nearly falls on a colleague but no one is injured. What should happen?</x:v>
      </x:c>
      <x:c r="E190" s="27" t="str">
        <x:v>During event setup, equipment nearly falls on a colleague but no one is injured. What should happen?</x:v>
      </x:c>
      <x:c r="F190" s="25" t="str">
        <x:f>IF(ISNUMBER(SEARCH("Legacy translation mismatch",$I190)),"Review: legacy mismatch",IF(E190="","Missing",IF(TRIM(E190)=TRIM(D190),"Review: same as English","Translated")))</x:f>
        <x:v>Review: same as English</x:v>
      </x:c>
      <x:c r="G190" s="27" t="str">
        <x:v>During event setup, equipment nearly falls on a colleague but no one is injured. What should happen?</x:v>
      </x:c>
      <x:c r="H190" s="25" t="str">
        <x:f>IF(ISNUMBER(SEARCH("Legacy translation mismatch",$I190)),"Review: legacy mismatch",IF(G190="","Missing",IF(TRIM(G190)=TRIM(D190),"Review: same as English","Translated")))</x:f>
        <x:v>Review: same as English</x:v>
      </x:c>
      <x:c r="I190" s="27" t="str">
        <x:v>Question translation is not currently provided.</x:v>
      </x:c>
    </x:row>
    <x:row r="191" ht="34" customHeight="1">
      <x:c r="A191" s="25" t="n">
        <x:v>24</x:v>
      </x:c>
      <x:c r="B191" s="25" t="str">
        <x:v>category</x:v>
      </x:c>
      <x:c r="C191" s="25" t="str">
        <x:v>Category label | Health, Safety and Emergency Procedures</x:v>
      </x:c>
      <x:c r="D191" s="25" t="str">
        <x:v>Health, Safety and Emergency Procedures</x:v>
      </x:c>
      <x:c r="E191" s="27" t="str">
        <x:v>Health, Safety and Emergency Procedures</x:v>
      </x:c>
      <x:c r="F191" s="25" t="str">
        <x:f>IF(ISNUMBER(SEARCH("Legacy translation mismatch",$I191)),"Review: legacy mismatch",IF(E191="","Missing",IF(TRIM(E191)=TRIM(D191),"Review: same as English","Translated")))</x:f>
        <x:v>Review: same as English</x:v>
      </x:c>
      <x:c r="G191" s="27" t="str">
        <x:v>Health, Safety and Emergency Procedures</x:v>
      </x:c>
      <x:c r="H191" s="25" t="str">
        <x:f>IF(ISNUMBER(SEARCH("Legacy translation mismatch",$I191)),"Review: legacy mismatch",IF(G191="","Missing",IF(TRIM(G191)=TRIM(D191),"Review: same as English","Translated")))</x:f>
        <x:v>Review: same as English</x:v>
      </x:c>
      <x:c r="I191" s="27" t="str"/>
    </x:row>
    <x:row r="192" ht="34" customHeight="1">
      <x:c r="A192" s="25" t="n">
        <x:v>24</x:v>
      </x:c>
      <x:c r="B192" s="25" t="str">
        <x:v>options[0]</x:v>
      </x:c>
      <x:c r="C192" s="25" t="str">
        <x:v>Answer option 1 | Health, Safety and Emergency Procedures</x:v>
      </x:c>
      <x:c r="D192" s="25" t="str">
        <x:v>A. No report is needed because there was no injury.</x:v>
      </x:c>
      <x:c r="E192" s="27" t="str">
        <x:v>A. No report is needed because there was no injury.</x:v>
      </x:c>
      <x:c r="F192" s="25" t="str">
        <x:f>IF(ISNUMBER(SEARCH("Legacy translation mismatch",$I192)),"Review: legacy mismatch",IF(E192="","Missing",IF(TRIM(E192)=TRIM(D192),"Review: same as English","Translated")))</x:f>
        <x:v>Review: same as English</x:v>
      </x:c>
      <x:c r="G192" s="27" t="str">
        <x:v>A. No report is needed because there was no injury.</x:v>
      </x:c>
      <x:c r="H192" s="25" t="str">
        <x:f>IF(ISNUMBER(SEARCH("Legacy translation mismatch",$I192)),"Review: legacy mismatch",IF(G192="","Missing",IF(TRIM(G192)=TRIM(D192),"Review: same as English","Translated")))</x:f>
        <x:v>Review: same as English</x:v>
      </x:c>
      <x:c r="I192" s="27" t="str"/>
    </x:row>
    <x:row r="193" ht="62" customHeight="1">
      <x:c r="A193" s="25" t="n">
        <x:v>24</x:v>
      </x:c>
      <x:c r="B193" s="25" t="str">
        <x:v>options[1]</x:v>
      </x:c>
      <x:c r="C193" s="25" t="str">
        <x:v>Answer option 2 | Health, Safety and Emergency Procedures</x:v>
      </x:c>
      <x:c r="D193" s="25" t="str">
        <x:v>B. Report the near miss immediately; the Supervisor informs HR and Management, an incident report is completed, and corrective action follows.</x:v>
      </x:c>
      <x:c r="E193" s="27" t="str">
        <x:v>B. Report the near miss immediately; the Supervisor informs HR and Management, an incident report is completed, and corrective action follows.</x:v>
      </x:c>
      <x:c r="F193" s="25" t="str">
        <x:f>IF(ISNUMBER(SEARCH("Legacy translation mismatch",$I193)),"Review: legacy mismatch",IF(E193="","Missing",IF(TRIM(E193)=TRIM(D193),"Review: same as English","Translated")))</x:f>
        <x:v>Review: same as English</x:v>
      </x:c>
      <x:c r="G193" s="27" t="str">
        <x:v>B. Report the near miss immediately; the Supervisor informs HR and Management, an incident report is completed, and corrective action follows.</x:v>
      </x:c>
      <x:c r="H193" s="25" t="str">
        <x:f>IF(ISNUMBER(SEARCH("Legacy translation mismatch",$I193)),"Review: legacy mismatch",IF(G193="","Missing",IF(TRIM(G193)=TRIM(D193),"Review: same as English","Translated")))</x:f>
        <x:v>Review: same as English</x:v>
      </x:c>
      <x:c r="I193" s="27" t="str"/>
    </x:row>
    <x:row r="194" ht="34" customHeight="1">
      <x:c r="A194" s="25" t="n">
        <x:v>24</x:v>
      </x:c>
      <x:c r="B194" s="25" t="str">
        <x:v>options[2]</x:v>
      </x:c>
      <x:c r="C194" s="25" t="str">
        <x:v>Answer option 3 | Health, Safety and Emergency Procedures</x:v>
      </x:c>
      <x:c r="D194" s="25" t="str">
        <x:v>C. Record it only if equipment was damaged.</x:v>
      </x:c>
      <x:c r="E194" s="27" t="str">
        <x:v>C. Record it only if equipment was damaged.</x:v>
      </x:c>
      <x:c r="F194" s="25" t="str">
        <x:f>IF(ISNUMBER(SEARCH("Legacy translation mismatch",$I194)),"Review: legacy mismatch",IF(E194="","Missing",IF(TRIM(E194)=TRIM(D194),"Review: same as English","Translated")))</x:f>
        <x:v>Review: same as English</x:v>
      </x:c>
      <x:c r="G194" s="27" t="str">
        <x:v>C. Record it only if equipment was damaged.</x:v>
      </x:c>
      <x:c r="H194" s="25" t="str">
        <x:f>IF(ISNUMBER(SEARCH("Legacy translation mismatch",$I194)),"Review: legacy mismatch",IF(G194="","Missing",IF(TRIM(G194)=TRIM(D194),"Review: same as English","Translated")))</x:f>
        <x:v>Review: same as English</x:v>
      </x:c>
      <x:c r="I194" s="27" t="str"/>
    </x:row>
    <x:row r="195" ht="34" customHeight="1">
      <x:c r="A195" s="25" t="n">
        <x:v>24</x:v>
      </x:c>
      <x:c r="B195" s="25" t="str">
        <x:v>options[3]</x:v>
      </x:c>
      <x:c r="C195" s="25" t="str">
        <x:v>Answer option 4 | Health, Safety and Emergency Procedures</x:v>
      </x:c>
      <x:c r="D195" s="25" t="str">
        <x:v>D. Wait until the next safety meeting to mention it.</x:v>
      </x:c>
      <x:c r="E195" s="27" t="str">
        <x:v>D. Wait until the next safety meeting to mention it.</x:v>
      </x:c>
      <x:c r="F195" s="25" t="str">
        <x:f>IF(ISNUMBER(SEARCH("Legacy translation mismatch",$I195)),"Review: legacy mismatch",IF(E195="","Missing",IF(TRIM(E195)=TRIM(D195),"Review: same as English","Translated")))</x:f>
        <x:v>Review: same as English</x:v>
      </x:c>
      <x:c r="G195" s="27" t="str">
        <x:v>D. Wait until the next safety meeting to mention it.</x:v>
      </x:c>
      <x:c r="H195" s="25" t="str">
        <x:f>IF(ISNUMBER(SEARCH("Legacy translation mismatch",$I195)),"Review: legacy mismatch",IF(G195="","Missing",IF(TRIM(G195)=TRIM(D195),"Review: same as English","Translated")))</x:f>
        <x:v>Review: same as English</x:v>
      </x:c>
      <x:c r="I195" s="27" t="str"/>
    </x:row>
    <x:row r="196" ht="62" customHeight="1">
      <x:c r="A196" s="25" t="n">
        <x:v>24</x:v>
      </x:c>
      <x:c r="B196" s="25" t="str">
        <x:v>explanation</x:v>
      </x:c>
      <x:c r="C196" s="25" t="str">
        <x:v>Answer explanation | Health, Safety and Emergency Procedures</x:v>
      </x:c>
      <x:c r="D196" s="25" t="str">
        <x:v>All accidents, injuries and near misses must be reported immediately and handled through the stated reporting, incident-report and corrective-action process.</x:v>
      </x:c>
      <x:c r="E196" s="27" t="str">
        <x:v>All accidents, injuries and near misses must be reported immediately and handled through the stated reporting, incident-report and corrective-action process.</x:v>
      </x:c>
      <x:c r="F196" s="25" t="str">
        <x:f>IF(ISNUMBER(SEARCH("Legacy translation mismatch",$I196)),"Review: legacy mismatch",IF(E196="","Missing",IF(TRIM(E196)=TRIM(D196),"Review: same as English","Translated")))</x:f>
        <x:v>Review: same as English</x:v>
      </x:c>
      <x:c r="G196" s="27" t="str">
        <x:v>All accidents, injuries and near misses must be reported immediately and handled through the stated reporting, incident-report and corrective-action process.</x:v>
      </x:c>
      <x:c r="H196" s="25" t="str">
        <x:f>IF(ISNUMBER(SEARCH("Legacy translation mismatch",$I196)),"Review: legacy mismatch",IF(G196="","Missing",IF(TRIM(G196)=TRIM(D196),"Review: same as English","Translated")))</x:f>
        <x:v>Review: same as English</x:v>
      </x:c>
      <x:c r="I196" s="27" t="str"/>
    </x:row>
    <x:row r="197" ht="34" customHeight="1">
      <x:c r="A197" s="25" t="n">
        <x:v>24</x:v>
      </x:c>
      <x:c r="B197" s="25" t="str">
        <x:v>handbookSource</x:v>
      </x:c>
      <x:c r="C197" s="25" t="str">
        <x:v>Handbook source citation | Health, Safety and Emergency Procedures</x:v>
      </x:c>
      <x:c r="D197" s="25" t="str">
        <x:v>Part 11, Accident Reporting Procedure (PDF pp. 68-69)</x:v>
      </x:c>
      <x:c r="E197" s="27" t="str">
        <x:v>Part 11, Accident Reporting Procedure (PDF pp. 68-69)</x:v>
      </x:c>
      <x:c r="F197" s="25" t="str">
        <x:f>IF(ISNUMBER(SEARCH("Legacy translation mismatch",$I197)),"Review: legacy mismatch",IF(E197="","Missing",IF(TRIM(E197)=TRIM(D197),"Review: same as English","Translated")))</x:f>
        <x:v>Review: same as English</x:v>
      </x:c>
      <x:c r="G197" s="27" t="str">
        <x:v>Part 11, Accident Reporting Procedure (PDF pp. 68-69)</x:v>
      </x:c>
      <x:c r="H197" s="25" t="str">
        <x:f>IF(ISNUMBER(SEARCH("Legacy translation mismatch",$I197)),"Review: legacy mismatch",IF(G197="","Missing",IF(TRIM(G197)=TRIM(D197),"Review: same as English","Translated")))</x:f>
        <x:v>Review: same as English</x:v>
      </x:c>
      <x:c r="I197" s="27" t="str"/>
    </x:row>
    <x:row r="198" ht="34" customHeight="1">
      <x:c r="A198" s="25" t="n">
        <x:v>25</x:v>
      </x:c>
      <x:c r="B198" s="25" t="str">
        <x:v>question</x:v>
      </x:c>
      <x:c r="C198" s="25" t="str">
        <x:v>Question text | Performance, Complaints and Disciplinary Procedures</x:v>
      </x:c>
      <x:c r="D198" s="25" t="str">
        <x:v>Which statement best describes a Performance Improvement Plan (PIP)?</x:v>
      </x:c>
      <x:c r="E198" s="27" t="str">
        <x:v>Which statement best describes a Performance Improvement Plan (PIP)?</x:v>
      </x:c>
      <x:c r="F198" s="25" t="str">
        <x:f>IF(ISNUMBER(SEARCH("Legacy translation mismatch",$I198)),"Review: legacy mismatch",IF(E198="","Missing",IF(TRIM(E198)=TRIM(D198),"Review: same as English","Translated")))</x:f>
        <x:v>Review: same as English</x:v>
      </x:c>
      <x:c r="G198" s="27" t="str">
        <x:v>Which statement best describes a Performance Improvement Plan (PIP)?</x:v>
      </x:c>
      <x:c r="H198" s="25" t="str">
        <x:f>IF(ISNUMBER(SEARCH("Legacy translation mismatch",$I198)),"Review: legacy mismatch",IF(G198="","Missing",IF(TRIM(G198)=TRIM(D198),"Review: same as English","Translated")))</x:f>
        <x:v>Review: same as English</x:v>
      </x:c>
      <x:c r="I198" s="27" t="str">
        <x:v>Question translation is not currently provided.</x:v>
      </x:c>
    </x:row>
    <x:row r="199" ht="34" customHeight="1">
      <x:c r="A199" s="25" t="n">
        <x:v>25</x:v>
      </x:c>
      <x:c r="B199" s="25" t="str">
        <x:v>category</x:v>
      </x:c>
      <x:c r="C199" s="25" t="str">
        <x:v>Category label | Performance, Complaints and Disciplinary Procedures</x:v>
      </x:c>
      <x:c r="D199" s="25" t="str">
        <x:v>Performance, Complaints and Disciplinary Procedures</x:v>
      </x:c>
      <x:c r="E199" s="27" t="str">
        <x:v>Performance, Complaints and Disciplinary Procedures</x:v>
      </x:c>
      <x:c r="F199" s="25" t="str">
        <x:f>IF(ISNUMBER(SEARCH("Legacy translation mismatch",$I199)),"Review: legacy mismatch",IF(E199="","Missing",IF(TRIM(E199)=TRIM(D199),"Review: same as English","Translated")))</x:f>
        <x:v>Review: same as English</x:v>
      </x:c>
      <x:c r="G199" s="27" t="str">
        <x:v>Performance, Complaints and Disciplinary Procedures</x:v>
      </x:c>
      <x:c r="H199" s="25" t="str">
        <x:f>IF(ISNUMBER(SEARCH("Legacy translation mismatch",$I199)),"Review: legacy mismatch",IF(G199="","Missing",IF(TRIM(G199)=TRIM(D199),"Review: same as English","Translated")))</x:f>
        <x:v>Review: same as English</x:v>
      </x:c>
      <x:c r="I199" s="27" t="str"/>
    </x:row>
    <x:row r="200" ht="34" customHeight="1">
      <x:c r="A200" s="25" t="n">
        <x:v>25</x:v>
      </x:c>
      <x:c r="B200" s="25" t="str">
        <x:v>options[0]</x:v>
      </x:c>
      <x:c r="C200" s="25" t="str">
        <x:v>Answer option 1 | Performance, Complaints and Disciplinary Procedures</x:v>
      </x:c>
      <x:c r="D200" s="25" t="str">
        <x:v>A. It automatically ends employment after 30 days.</x:v>
      </x:c>
      <x:c r="E200" s="27" t="str">
        <x:v>A. It automatically ends employment after 30 days.</x:v>
      </x:c>
      <x:c r="F200" s="25" t="str">
        <x:f>IF(ISNUMBER(SEARCH("Legacy translation mismatch",$I200)),"Review: legacy mismatch",IF(E200="","Missing",IF(TRIM(E200)=TRIM(D200),"Review: same as English","Translated")))</x:f>
        <x:v>Review: same as English</x:v>
      </x:c>
      <x:c r="G200" s="27" t="str">
        <x:v>A. It automatically ends employment after 30 days.</x:v>
      </x:c>
      <x:c r="H200" s="25" t="str">
        <x:f>IF(ISNUMBER(SEARCH("Legacy translation mismatch",$I200)),"Review: legacy mismatch",IF(G200="","Missing",IF(TRIM(G200)=TRIM(D200),"Review: same as English","Translated")))</x:f>
        <x:v>Review: same as English</x:v>
      </x:c>
      <x:c r="I200" s="27" t="str"/>
    </x:row>
    <x:row r="201" ht="62" customHeight="1">
      <x:c r="A201" s="25" t="n">
        <x:v>25</x:v>
      </x:c>
      <x:c r="B201" s="25" t="str">
        <x:v>options[1]</x:v>
      </x:c>
      <x:c r="C201" s="25" t="str">
        <x:v>Answer option 2 | Performance, Complaints and Disciplinary Procedures</x:v>
      </x:c>
      <x:c r="D201" s="25" t="str">
        <x:v>B. It documents performance gaps and improvement objectives, provides support and reviews progress before Management decides the outcome.</x:v>
      </x:c>
      <x:c r="E201" s="27" t="str">
        <x:v>B. It documents performance gaps and improvement objectives, provides support and reviews progress before Management decides the outcome.</x:v>
      </x:c>
      <x:c r="F201" s="25" t="str">
        <x:f>IF(ISNUMBER(SEARCH("Legacy translation mismatch",$I201)),"Review: legacy mismatch",IF(E201="","Missing",IF(TRIM(E201)=TRIM(D201),"Review: same as English","Translated")))</x:f>
        <x:v>Review: same as English</x:v>
      </x:c>
      <x:c r="G201" s="27" t="str">
        <x:v>B. It documents performance gaps and improvement objectives, provides support and reviews progress before Management decides the outcome.</x:v>
      </x:c>
      <x:c r="H201" s="25" t="str">
        <x:f>IF(ISNUMBER(SEARCH("Legacy translation mismatch",$I201)),"Review: legacy mismatch",IF(G201="","Missing",IF(TRIM(G201)=TRIM(D201),"Review: same as English","Translated")))</x:f>
        <x:v>Review: same as English</x:v>
      </x:c>
      <x:c r="I201" s="27" t="str"/>
    </x:row>
    <x:row r="202" ht="34" customHeight="1">
      <x:c r="A202" s="25" t="n">
        <x:v>25</x:v>
      </x:c>
      <x:c r="B202" s="25" t="str">
        <x:v>options[2]</x:v>
      </x:c>
      <x:c r="C202" s="25" t="str">
        <x:v>Answer option 3 | Performance, Complaints and Disciplinary Procedures</x:v>
      </x:c>
      <x:c r="D202" s="25" t="str">
        <x:v>C. It is used only for serious misconduct.</x:v>
      </x:c>
      <x:c r="E202" s="27" t="str">
        <x:v>C. It is used only for serious misconduct.</x:v>
      </x:c>
      <x:c r="F202" s="25" t="str">
        <x:f>IF(ISNUMBER(SEARCH("Legacy translation mismatch",$I202)),"Review: legacy mismatch",IF(E202="","Missing",IF(TRIM(E202)=TRIM(D202),"Review: same as English","Translated")))</x:f>
        <x:v>Review: same as English</x:v>
      </x:c>
      <x:c r="G202" s="27" t="str">
        <x:v>C. It is used only for serious misconduct.</x:v>
      </x:c>
      <x:c r="H202" s="25" t="str">
        <x:f>IF(ISNUMBER(SEARCH("Legacy translation mismatch",$I202)),"Review: legacy mismatch",IF(G202="","Missing",IF(TRIM(G202)=TRIM(D202),"Review: same as English","Translated")))</x:f>
        <x:v>Review: same as English</x:v>
      </x:c>
      <x:c r="I202" s="27" t="str"/>
    </x:row>
    <x:row r="203" ht="34" customHeight="1">
      <x:c r="A203" s="25" t="n">
        <x:v>25</x:v>
      </x:c>
      <x:c r="B203" s="25" t="str">
        <x:v>options[3]</x:v>
      </x:c>
      <x:c r="C203" s="25" t="str">
        <x:v>Answer option 4 | Performance, Complaints and Disciplinary Procedures</x:v>
      </x:c>
      <x:c r="D203" s="25" t="str">
        <x:v>D. It guarantees promotion after successful completion.</x:v>
      </x:c>
      <x:c r="E203" s="27" t="str">
        <x:v>D. It guarantees promotion after successful completion.</x:v>
      </x:c>
      <x:c r="F203" s="25" t="str">
        <x:f>IF(ISNUMBER(SEARCH("Legacy translation mismatch",$I203)),"Review: legacy mismatch",IF(E203="","Missing",IF(TRIM(E203)=TRIM(D203),"Review: same as English","Translated")))</x:f>
        <x:v>Review: same as English</x:v>
      </x:c>
      <x:c r="G203" s="27" t="str">
        <x:v>D. It guarantees promotion after successful completion.</x:v>
      </x:c>
      <x:c r="H203" s="25" t="str">
        <x:f>IF(ISNUMBER(SEARCH("Legacy translation mismatch",$I203)),"Review: legacy mismatch",IF(G203="","Missing",IF(TRIM(G203)=TRIM(D203),"Review: same as English","Translated")))</x:f>
        <x:v>Review: same as English</x:v>
      </x:c>
      <x:c r="I203" s="27" t="str"/>
    </x:row>
    <x:row r="204" ht="76" customHeight="1">
      <x:c r="A204" s="25" t="n">
        <x:v>25</x:v>
      </x:c>
      <x:c r="B204" s="25" t="str">
        <x:v>explanation</x:v>
      </x:c>
      <x:c r="C204" s="25" t="str">
        <x:v>Answer explanation | Performance, Complaints and Disciplinary Procedures</x:v>
      </x:c>
      <x:c r="D204" s="25" t="str">
        <x:v>A PIP supports improvement by identifying gaps, documenting expectations, providing coaching and holding regular reviews. Outcomes may include completion, extension or further action.</x:v>
      </x:c>
      <x:c r="E204" s="27" t="str">
        <x:v>A PIP supports improvement by identifying gaps, documenting expectations, providing coaching and holding regular reviews. Outcomes may include completion, extension or further action.</x:v>
      </x:c>
      <x:c r="F204" s="25" t="str">
        <x:f>IF(ISNUMBER(SEARCH("Legacy translation mismatch",$I204)),"Review: legacy mismatch",IF(E204="","Missing",IF(TRIM(E204)=TRIM(D204),"Review: same as English","Translated")))</x:f>
        <x:v>Review: same as English</x:v>
      </x:c>
      <x:c r="G204" s="27" t="str">
        <x:v>A PIP supports improvement by identifying gaps, documenting expectations, providing coaching and holding regular reviews. Outcomes may include completion, extension or further action.</x:v>
      </x:c>
      <x:c r="H204" s="25" t="str">
        <x:f>IF(ISNUMBER(SEARCH("Legacy translation mismatch",$I204)),"Review: legacy mismatch",IF(G204="","Missing",IF(TRIM(G204)=TRIM(D204),"Review: same as English","Translated")))</x:f>
        <x:v>Review: same as English</x:v>
      </x:c>
      <x:c r="I204" s="27" t="str"/>
    </x:row>
    <x:row r="205" ht="34" customHeight="1">
      <x:c r="A205" s="25" t="n">
        <x:v>25</x:v>
      </x:c>
      <x:c r="B205" s="25" t="str">
        <x:v>handbookSource</x:v>
      </x:c>
      <x:c r="C205" s="25" t="str">
        <x:v>Handbook source citation | Performance, Complaints and Disciplinary Procedures</x:v>
      </x:c>
      <x:c r="D205" s="25" t="str">
        <x:v>Part 8, Performance Improvement Plan (PDF pp. 45-46)</x:v>
      </x:c>
      <x:c r="E205" s="27" t="str">
        <x:v>Part 8, Performance Improvement Plan (PDF pp. 45-46)</x:v>
      </x:c>
      <x:c r="F205" s="25" t="str">
        <x:f>IF(ISNUMBER(SEARCH("Legacy translation mismatch",$I205)),"Review: legacy mismatch",IF(E205="","Missing",IF(TRIM(E205)=TRIM(D205),"Review: same as English","Translated")))</x:f>
        <x:v>Review: same as English</x:v>
      </x:c>
      <x:c r="G205" s="27" t="str">
        <x:v>Part 8, Performance Improvement Plan (PDF pp. 45-46)</x:v>
      </x:c>
      <x:c r="H205" s="25" t="str">
        <x:f>IF(ISNUMBER(SEARCH("Legacy translation mismatch",$I205)),"Review: legacy mismatch",IF(G205="","Missing",IF(TRIM(G205)=TRIM(D205),"Review: same as English","Translated")))</x:f>
        <x:v>Review: same as English</x:v>
      </x:c>
      <x:c r="I205" s="27" t="str"/>
    </x:row>
    <x:row r="206" ht="48" customHeight="1">
      <x:c r="A206" s="25" t="n">
        <x:v>26</x:v>
      </x:c>
      <x:c r="B206" s="25" t="str">
        <x:v>question</x:v>
      </x:c>
      <x:c r="C206" s="25" t="str">
        <x:v>Question text | Performance, Complaints and Disciplinary Procedures</x:v>
      </x:c>
      <x:c r="D206" s="25" t="str">
        <x:v>An employee verbally reports a workplace harassment complaint. What may the Company do under the complaint procedure?</x:v>
      </x:c>
      <x:c r="E206" s="27" t="str">
        <x:v>An employee verbally reports a workplace harassment complaint. What may the Company do under the complaint procedure?</x:v>
      </x:c>
      <x:c r="F206" s="25" t="str">
        <x:f>IF(ISNUMBER(SEARCH("Legacy translation mismatch",$I206)),"Review: legacy mismatch",IF(E206="","Missing",IF(TRIM(E206)=TRIM(D206),"Review: same as English","Translated")))</x:f>
        <x:v>Review: same as English</x:v>
      </x:c>
      <x:c r="G206" s="27" t="str">
        <x:v>An employee verbally reports a workplace harassment complaint. What may the Company do under the complaint procedure?</x:v>
      </x:c>
      <x:c r="H206" s="25" t="str">
        <x:f>IF(ISNUMBER(SEARCH("Legacy translation mismatch",$I206)),"Review: legacy mismatch",IF(G206="","Missing",IF(TRIM(G206)=TRIM(D206),"Review: same as English","Translated")))</x:f>
        <x:v>Review: same as English</x:v>
      </x:c>
      <x:c r="I206" s="27" t="str">
        <x:v>Question translation is not currently provided.</x:v>
      </x:c>
    </x:row>
    <x:row r="207" ht="34" customHeight="1">
      <x:c r="A207" s="25" t="n">
        <x:v>26</x:v>
      </x:c>
      <x:c r="B207" s="25" t="str">
        <x:v>category</x:v>
      </x:c>
      <x:c r="C207" s="25" t="str">
        <x:v>Category label | Performance, Complaints and Disciplinary Procedures</x:v>
      </x:c>
      <x:c r="D207" s="25" t="str">
        <x:v>Performance, Complaints and Disciplinary Procedures</x:v>
      </x:c>
      <x:c r="E207" s="27" t="str">
        <x:v>Performance, Complaints and Disciplinary Procedures</x:v>
      </x:c>
      <x:c r="F207" s="25" t="str">
        <x:f>IF(ISNUMBER(SEARCH("Legacy translation mismatch",$I207)),"Review: legacy mismatch",IF(E207="","Missing",IF(TRIM(E207)=TRIM(D207),"Review: same as English","Translated")))</x:f>
        <x:v>Review: same as English</x:v>
      </x:c>
      <x:c r="G207" s="27" t="str">
        <x:v>Performance, Complaints and Disciplinary Procedures</x:v>
      </x:c>
      <x:c r="H207" s="25" t="str">
        <x:f>IF(ISNUMBER(SEARCH("Legacy translation mismatch",$I207)),"Review: legacy mismatch",IF(G207="","Missing",IF(TRIM(G207)=TRIM(D207),"Review: same as English","Translated")))</x:f>
        <x:v>Review: same as English</x:v>
      </x:c>
      <x:c r="I207" s="27" t="str"/>
    </x:row>
    <x:row r="208" ht="34" customHeight="1">
      <x:c r="A208" s="25" t="n">
        <x:v>26</x:v>
      </x:c>
      <x:c r="B208" s="25" t="str">
        <x:v>options[0]</x:v>
      </x:c>
      <x:c r="C208" s="25" t="str">
        <x:v>Answer option 1 | Performance, Complaints and Disciplinary Procedures</x:v>
      </x:c>
      <x:c r="D208" s="25" t="str">
        <x:v>A. Reject it because complaints must always be written.</x:v>
      </x:c>
      <x:c r="E208" s="27" t="str">
        <x:v>A. Reject it because complaints must always be written.</x:v>
      </x:c>
      <x:c r="F208" s="25" t="str">
        <x:f>IF(ISNUMBER(SEARCH("Legacy translation mismatch",$I208)),"Review: legacy mismatch",IF(E208="","Missing",IF(TRIM(E208)=TRIM(D208),"Review: same as English","Translated")))</x:f>
        <x:v>Review: same as English</x:v>
      </x:c>
      <x:c r="G208" s="27" t="str">
        <x:v>A. Reject it because complaints must always be written.</x:v>
      </x:c>
      <x:c r="H208" s="25" t="str">
        <x:f>IF(ISNUMBER(SEARCH("Legacy translation mismatch",$I208)),"Review: legacy mismatch",IF(G208="","Missing",IF(TRIM(G208)=TRIM(D208),"Review: same as English","Translated")))</x:f>
        <x:v>Review: same as English</x:v>
      </x:c>
      <x:c r="I208" s="27" t="str"/>
    </x:row>
    <x:row r="209" ht="62" customHeight="1">
      <x:c r="A209" s="25" t="n">
        <x:v>26</x:v>
      </x:c>
      <x:c r="B209" s="25" t="str">
        <x:v>options[1]</x:v>
      </x:c>
      <x:c r="C209" s="25" t="str">
        <x:v>Answer option 2 | Performance, Complaints and Disciplinary Procedures</x:v>
      </x:c>
      <x:c r="D209" s="25" t="str">
        <x:v>B. Investigate, request supporting information, interview relevant parties and implement corrective measures where appropriate.</x:v>
      </x:c>
      <x:c r="E209" s="27" t="str">
        <x:v>B. Investigate, request supporting information, interview relevant parties and implement corrective measures where appropriate.</x:v>
      </x:c>
      <x:c r="F209" s="25" t="str">
        <x:f>IF(ISNUMBER(SEARCH("Legacy translation mismatch",$I209)),"Review: legacy mismatch",IF(E209="","Missing",IF(TRIM(E209)=TRIM(D209),"Review: same as English","Translated")))</x:f>
        <x:v>Review: same as English</x:v>
      </x:c>
      <x:c r="G209" s="27" t="str">
        <x:v>B. Investigate, request supporting information, interview relevant parties and implement corrective measures where appropriate.</x:v>
      </x:c>
      <x:c r="H209" s="25" t="str">
        <x:f>IF(ISNUMBER(SEARCH("Legacy translation mismatch",$I209)),"Review: legacy mismatch",IF(G209="","Missing",IF(TRIM(G209)=TRIM(D209),"Review: same as English","Translated")))</x:f>
        <x:v>Review: same as English</x:v>
      </x:c>
      <x:c r="I209" s="27" t="str"/>
    </x:row>
    <x:row r="210" ht="34" customHeight="1">
      <x:c r="A210" s="25" t="n">
        <x:v>26</x:v>
      </x:c>
      <x:c r="B210" s="25" t="str">
        <x:v>options[2]</x:v>
      </x:c>
      <x:c r="C210" s="25" t="str">
        <x:v>Answer option 3 | Performance, Complaints and Disciplinary Procedures</x:v>
      </x:c>
      <x:c r="D210" s="25" t="str">
        <x:v>C. Publish the complaint to the department for transparency.</x:v>
      </x:c>
      <x:c r="E210" s="27" t="str">
        <x:v>C. Publish the complaint to the department for transparency.</x:v>
      </x:c>
      <x:c r="F210" s="25" t="str">
        <x:f>IF(ISNUMBER(SEARCH("Legacy translation mismatch",$I210)),"Review: legacy mismatch",IF(E210="","Missing",IF(TRIM(E210)=TRIM(D210),"Review: same as English","Translated")))</x:f>
        <x:v>Review: same as English</x:v>
      </x:c>
      <x:c r="G210" s="27" t="str">
        <x:v>C. Publish the complaint to the department for transparency.</x:v>
      </x:c>
      <x:c r="H210" s="25" t="str">
        <x:f>IF(ISNUMBER(SEARCH("Legacy translation mismatch",$I210)),"Review: legacy mismatch",IF(G210="","Missing",IF(TRIM(G210)=TRIM(D210),"Review: same as English","Translated")))</x:f>
        <x:v>Review: same as English</x:v>
      </x:c>
      <x:c r="I210" s="27" t="str"/>
    </x:row>
    <x:row r="211" ht="48" customHeight="1">
      <x:c r="A211" s="25" t="n">
        <x:v>26</x:v>
      </x:c>
      <x:c r="B211" s="25" t="str">
        <x:v>options[3]</x:v>
      </x:c>
      <x:c r="C211" s="25" t="str">
        <x:v>Answer option 4 | Performance, Complaints and Disciplinary Procedures</x:v>
      </x:c>
      <x:c r="D211" s="25" t="str">
        <x:v>D. Require the employee to resolve it directly with the alleged person before HR can act.</x:v>
      </x:c>
      <x:c r="E211" s="27" t="str">
        <x:v>D. Require the employee to resolve it directly with the alleged person before HR can act.</x:v>
      </x:c>
      <x:c r="F211" s="25" t="str">
        <x:f>IF(ISNUMBER(SEARCH("Legacy translation mismatch",$I211)),"Review: legacy mismatch",IF(E211="","Missing",IF(TRIM(E211)=TRIM(D211),"Review: same as English","Translated")))</x:f>
        <x:v>Review: same as English</x:v>
      </x:c>
      <x:c r="G211" s="27" t="str">
        <x:v>D. Require the employee to resolve it directly with the alleged person before HR can act.</x:v>
      </x:c>
      <x:c r="H211" s="25" t="str">
        <x:f>IF(ISNUMBER(SEARCH("Legacy translation mismatch",$I211)),"Review: legacy mismatch",IF(G211="","Missing",IF(TRIM(G211)=TRIM(D211),"Review: same as English","Translated")))</x:f>
        <x:v>Review: same as English</x:v>
      </x:c>
      <x:c r="I211" s="27" t="str"/>
    </x:row>
    <x:row r="212" ht="76" customHeight="1">
      <x:c r="A212" s="25" t="n">
        <x:v>26</x:v>
      </x:c>
      <x:c r="B212" s="25" t="str">
        <x:v>explanation</x:v>
      </x:c>
      <x:c r="C212" s="25" t="str">
        <x:v>Answer explanation | Performance, Complaints and Disciplinary Procedures</x:v>
      </x:c>
      <x:c r="D212" s="25" t="str">
        <x:v>Complaints may be verbal or written. The Company may investigate, request evidence, interview relevant parties and take corrective measures while endeavouring to act fairly and confidentially.</x:v>
      </x:c>
      <x:c r="E212" s="27" t="str">
        <x:v>Complaints may be verbal or written. The Company may investigate, request evidence, interview relevant parties and take corrective measures while endeavouring to act fairly and confidentially.</x:v>
      </x:c>
      <x:c r="F212" s="25" t="str">
        <x:f>IF(ISNUMBER(SEARCH("Legacy translation mismatch",$I212)),"Review: legacy mismatch",IF(E212="","Missing",IF(TRIM(E212)=TRIM(D212),"Review: same as English","Translated")))</x:f>
        <x:v>Review: same as English</x:v>
      </x:c>
      <x:c r="G212" s="27" t="str">
        <x:v>Complaints may be verbal or written. The Company may investigate, request evidence, interview relevant parties and take corrective measures while endeavouring to act fairly and confidentially.</x:v>
      </x:c>
      <x:c r="H212" s="25" t="str">
        <x:f>IF(ISNUMBER(SEARCH("Legacy translation mismatch",$I212)),"Review: legacy mismatch",IF(G212="","Missing",IF(TRIM(G212)=TRIM(D212),"Review: same as English","Translated")))</x:f>
        <x:v>Review: same as English</x:v>
      </x:c>
      <x:c r="I212" s="27" t="str"/>
    </x:row>
    <x:row r="213" ht="34" customHeight="1">
      <x:c r="A213" s="25" t="n">
        <x:v>26</x:v>
      </x:c>
      <x:c r="B213" s="25" t="str">
        <x:v>handbookSource</x:v>
      </x:c>
      <x:c r="C213" s="25" t="str">
        <x:v>Handbook source citation | Performance, Complaints and Disciplinary Procedures</x:v>
      </x:c>
      <x:c r="D213" s="25" t="str">
        <x:v>Part 13, Complaint Handling Procedure (PDF pp. 81-82)</x:v>
      </x:c>
      <x:c r="E213" s="27" t="str">
        <x:v>Part 13, Complaint Handling Procedure (PDF pp. 81-82)</x:v>
      </x:c>
      <x:c r="F213" s="25" t="str">
        <x:f>IF(ISNUMBER(SEARCH("Legacy translation mismatch",$I213)),"Review: legacy mismatch",IF(E213="","Missing",IF(TRIM(E213)=TRIM(D213),"Review: same as English","Translated")))</x:f>
        <x:v>Review: same as English</x:v>
      </x:c>
      <x:c r="G213" s="27" t="str">
        <x:v>Part 13, Complaint Handling Procedure (PDF pp. 81-82)</x:v>
      </x:c>
      <x:c r="H213" s="25" t="str">
        <x:f>IF(ISNUMBER(SEARCH("Legacy translation mismatch",$I213)),"Review: legacy mismatch",IF(G213="","Missing",IF(TRIM(G213)=TRIM(D213),"Review: same as English","Translated")))</x:f>
        <x:v>Review: same as English</x:v>
      </x:c>
      <x:c r="I213" s="27" t="str"/>
    </x:row>
    <x:row r="214" ht="76" customHeight="1">
      <x:c r="A214" s="25" t="n">
        <x:v>27</x:v>
      </x:c>
      <x:c r="B214" s="25" t="str">
        <x:v>question</x:v>
      </x:c>
      <x:c r="C214" s="25" t="str">
        <x:v>Question text | Performance, Complaints and Disciplinary Procedures</x:v>
      </x:c>
      <x:c r="D214" s="25" t="str">
        <x:v>A disputed allegation may involve serious misconduct and possible dismissal. Which process may be used to establish facts and allow the employee to present evidence and witnesses?</x:v>
      </x:c>
      <x:c r="E214" s="27" t="str">
        <x:v>A disputed allegation may involve serious misconduct and possible dismissal. Which process may be used to establish facts and allow the employee to present evidence and witnesses?</x:v>
      </x:c>
      <x:c r="F214" s="25" t="str">
        <x:f>IF(ISNUMBER(SEARCH("Legacy translation mismatch",$I214)),"Review: legacy mismatch",IF(E214="","Missing",IF(TRIM(E214)=TRIM(D214),"Review: same as English","Translated")))</x:f>
        <x:v>Review: same as English</x:v>
      </x:c>
      <x:c r="G214" s="27" t="str">
        <x:v>A disputed allegation may involve serious misconduct and possible dismissal. Which process may be used to establish facts and allow the employee to present evidence and witnesses?</x:v>
      </x:c>
      <x:c r="H214" s="25" t="str">
        <x:f>IF(ISNUMBER(SEARCH("Legacy translation mismatch",$I214)),"Review: legacy mismatch",IF(G214="","Missing",IF(TRIM(G214)=TRIM(D214),"Review: same as English","Translated")))</x:f>
        <x:v>Review: same as English</x:v>
      </x:c>
      <x:c r="I214" s="27" t="str">
        <x:v>Question translation is not currently provided.</x:v>
      </x:c>
    </x:row>
    <x:row r="215" ht="34" customHeight="1">
      <x:c r="A215" s="25" t="n">
        <x:v>27</x:v>
      </x:c>
      <x:c r="B215" s="25" t="str">
        <x:v>category</x:v>
      </x:c>
      <x:c r="C215" s="25" t="str">
        <x:v>Category label | Performance, Complaints and Disciplinary Procedures</x:v>
      </x:c>
      <x:c r="D215" s="25" t="str">
        <x:v>Performance, Complaints and Disciplinary Procedures</x:v>
      </x:c>
      <x:c r="E215" s="27" t="str">
        <x:v>Performance, Complaints and Disciplinary Procedures</x:v>
      </x:c>
      <x:c r="F215" s="25" t="str">
        <x:f>IF(ISNUMBER(SEARCH("Legacy translation mismatch",$I215)),"Review: legacy mismatch",IF(E215="","Missing",IF(TRIM(E215)=TRIM(D215),"Review: same as English","Translated")))</x:f>
        <x:v>Review: same as English</x:v>
      </x:c>
      <x:c r="G215" s="27" t="str">
        <x:v>Performance, Complaints and Disciplinary Procedures</x:v>
      </x:c>
      <x:c r="H215" s="25" t="str">
        <x:f>IF(ISNUMBER(SEARCH("Legacy translation mismatch",$I215)),"Review: legacy mismatch",IF(G215="","Missing",IF(TRIM(G215)=TRIM(D215),"Review: same as English","Translated")))</x:f>
        <x:v>Review: same as English</x:v>
      </x:c>
      <x:c r="I215" s="27" t="str"/>
    </x:row>
    <x:row r="216" ht="34" customHeight="1">
      <x:c r="A216" s="25" t="n">
        <x:v>27</x:v>
      </x:c>
      <x:c r="B216" s="25" t="str">
        <x:v>options[0]</x:v>
      </x:c>
      <x:c r="C216" s="25" t="str">
        <x:v>Answer option 1 | Performance, Complaints and Disciplinary Procedures</x:v>
      </x:c>
      <x:c r="D216" s="25" t="str">
        <x:v>A. Annual performance appraisal.</x:v>
      </x:c>
      <x:c r="E216" s="27" t="str">
        <x:v>A. Annual performance appraisal.</x:v>
      </x:c>
      <x:c r="F216" s="25" t="str">
        <x:f>IF(ISNUMBER(SEARCH("Legacy translation mismatch",$I216)),"Review: legacy mismatch",IF(E216="","Missing",IF(TRIM(E216)=TRIM(D216),"Review: same as English","Translated")))</x:f>
        <x:v>Review: same as English</x:v>
      </x:c>
      <x:c r="G216" s="27" t="str">
        <x:v>A. Annual performance appraisal.</x:v>
      </x:c>
      <x:c r="H216" s="25" t="str">
        <x:f>IF(ISNUMBER(SEARCH("Legacy translation mismatch",$I216)),"Review: legacy mismatch",IF(G216="","Missing",IF(TRIM(G216)=TRIM(D216),"Review: same as English","Translated")))</x:f>
        <x:v>Review: same as English</x:v>
      </x:c>
      <x:c r="I216" s="27" t="str"/>
    </x:row>
    <x:row r="217" ht="34" customHeight="1">
      <x:c r="A217" s="25" t="n">
        <x:v>27</x:v>
      </x:c>
      <x:c r="B217" s="25" t="str">
        <x:v>options[1]</x:v>
      </x:c>
      <x:c r="C217" s="25" t="str">
        <x:v>Answer option 2 | Performance, Complaints and Disciplinary Procedures</x:v>
      </x:c>
      <x:c r="D217" s="25" t="str">
        <x:v>B. Domestic Inquiry.</x:v>
      </x:c>
      <x:c r="E217" s="27" t="str">
        <x:v>B. Domestic Inquiry.</x:v>
      </x:c>
      <x:c r="F217" s="25" t="str">
        <x:f>IF(ISNUMBER(SEARCH("Legacy translation mismatch",$I217)),"Review: legacy mismatch",IF(E217="","Missing",IF(TRIM(E217)=TRIM(D217),"Review: same as English","Translated")))</x:f>
        <x:v>Review: same as English</x:v>
      </x:c>
      <x:c r="G217" s="27" t="str">
        <x:v>B. Domestic Inquiry.</x:v>
      </x:c>
      <x:c r="H217" s="25" t="str">
        <x:f>IF(ISNUMBER(SEARCH("Legacy translation mismatch",$I217)),"Review: legacy mismatch",IF(G217="","Missing",IF(TRIM(G217)=TRIM(D217),"Review: same as English","Translated")))</x:f>
        <x:v>Review: same as English</x:v>
      </x:c>
      <x:c r="I217" s="27" t="str"/>
    </x:row>
    <x:row r="218" ht="34" customHeight="1">
      <x:c r="A218" s="25" t="n">
        <x:v>27</x:v>
      </x:c>
      <x:c r="B218" s="25" t="str">
        <x:v>options[2]</x:v>
      </x:c>
      <x:c r="C218" s="25" t="str">
        <x:v>Answer option 3 | Performance, Complaints and Disciplinary Procedures</x:v>
      </x:c>
      <x:c r="D218" s="25" t="str">
        <x:v>C. Exit Interview.</x:v>
      </x:c>
      <x:c r="E218" s="27" t="str">
        <x:v>C. Exit Interview.</x:v>
      </x:c>
      <x:c r="F218" s="25" t="str">
        <x:f>IF(ISNUMBER(SEARCH("Legacy translation mismatch",$I218)),"Review: legacy mismatch",IF(E218="","Missing",IF(TRIM(E218)=TRIM(D218),"Review: same as English","Translated")))</x:f>
        <x:v>Review: same as English</x:v>
      </x:c>
      <x:c r="G218" s="27" t="str">
        <x:v>C. Exit Interview.</x:v>
      </x:c>
      <x:c r="H218" s="25" t="str">
        <x:f>IF(ISNUMBER(SEARCH("Legacy translation mismatch",$I218)),"Review: legacy mismatch",IF(G218="","Missing",IF(TRIM(G218)=TRIM(D218),"Review: same as English","Translated")))</x:f>
        <x:v>Review: same as English</x:v>
      </x:c>
      <x:c r="I218" s="27" t="str"/>
    </x:row>
    <x:row r="219" ht="34" customHeight="1">
      <x:c r="A219" s="25" t="n">
        <x:v>27</x:v>
      </x:c>
      <x:c r="B219" s="25" t="str">
        <x:v>options[3]</x:v>
      </x:c>
      <x:c r="C219" s="25" t="str">
        <x:v>Answer option 4 | Performance, Complaints and Disciplinary Procedures</x:v>
      </x:c>
      <x:c r="D219" s="25" t="str">
        <x:v>D. Leave Application review.</x:v>
      </x:c>
      <x:c r="E219" s="27" t="str">
        <x:v>D. Leave Application review.</x:v>
      </x:c>
      <x:c r="F219" s="25" t="str">
        <x:f>IF(ISNUMBER(SEARCH("Legacy translation mismatch",$I219)),"Review: legacy mismatch",IF(E219="","Missing",IF(TRIM(E219)=TRIM(D219),"Review: same as English","Translated")))</x:f>
        <x:v>Review: same as English</x:v>
      </x:c>
      <x:c r="G219" s="27" t="str">
        <x:v>D. Leave Application review.</x:v>
      </x:c>
      <x:c r="H219" s="25" t="str">
        <x:f>IF(ISNUMBER(SEARCH("Legacy translation mismatch",$I219)),"Review: legacy mismatch",IF(G219="","Missing",IF(TRIM(G219)=TRIM(D219),"Review: same as English","Translated")))</x:f>
        <x:v>Review: same as English</x:v>
      </x:c>
      <x:c r="I219" s="27" t="str"/>
    </x:row>
    <x:row r="220" ht="76" customHeight="1">
      <x:c r="A220" s="25" t="n">
        <x:v>27</x:v>
      </x:c>
      <x:c r="B220" s="25" t="str">
        <x:v>explanation</x:v>
      </x:c>
      <x:c r="C220" s="25" t="str">
        <x:v>Answer explanation | Performance, Complaints and Disciplinary Procedures</x:v>
      </x:c>
      <x:c r="D220" s="25" t="str">
        <x:v>A Domestic Inquiry may be used for serious misconduct, disputed facts, potential dismissal or significant policy breaches. It supports fact-finding, the right to be heard and procedural fairness.</x:v>
      </x:c>
      <x:c r="E220" s="27" t="str">
        <x:v>A Domestic Inquiry may be used for serious misconduct, disputed facts, potential dismissal or significant policy breaches. It supports fact-finding, the right to be heard and procedural fairness.</x:v>
      </x:c>
      <x:c r="F220" s="25" t="str">
        <x:f>IF(ISNUMBER(SEARCH("Legacy translation mismatch",$I220)),"Review: legacy mismatch",IF(E220="","Missing",IF(TRIM(E220)=TRIM(D220),"Review: same as English","Translated")))</x:f>
        <x:v>Review: same as English</x:v>
      </x:c>
      <x:c r="G220" s="27" t="str">
        <x:v>A Domestic Inquiry may be used for serious misconduct, disputed facts, potential dismissal or significant policy breaches. It supports fact-finding, the right to be heard and procedural fairness.</x:v>
      </x:c>
      <x:c r="H220" s="25" t="str">
        <x:f>IF(ISNUMBER(SEARCH("Legacy translation mismatch",$I220)),"Review: legacy mismatch",IF(G220="","Missing",IF(TRIM(G220)=TRIM(D220),"Review: same as English","Translated")))</x:f>
        <x:v>Review: same as English</x:v>
      </x:c>
      <x:c r="I220" s="27" t="str"/>
    </x:row>
    <x:row r="221" ht="34" customHeight="1">
      <x:c r="A221" s="25" t="n">
        <x:v>27</x:v>
      </x:c>
      <x:c r="B221" s="25" t="str">
        <x:v>handbookSource</x:v>
      </x:c>
      <x:c r="C221" s="25" t="str">
        <x:v>Handbook source citation | Performance, Complaints and Disciplinary Procedures</x:v>
      </x:c>
      <x:c r="D221" s="25" t="str">
        <x:v>Part 13, Domestic Inquiry Procedure (PDF p. 82)</x:v>
      </x:c>
      <x:c r="E221" s="27" t="str">
        <x:v>Part 13, Domestic Inquiry Procedure (PDF p. 82)</x:v>
      </x:c>
      <x:c r="F221" s="25" t="str">
        <x:f>IF(ISNUMBER(SEARCH("Legacy translation mismatch",$I221)),"Review: legacy mismatch",IF(E221="","Missing",IF(TRIM(E221)=TRIM(D221),"Review: same as English","Translated")))</x:f>
        <x:v>Review: same as English</x:v>
      </x:c>
      <x:c r="G221" s="27" t="str">
        <x:v>Part 13, Domestic Inquiry Procedure (PDF p. 82)</x:v>
      </x:c>
      <x:c r="H221" s="25" t="str">
        <x:f>IF(ISNUMBER(SEARCH("Legacy translation mismatch",$I221)),"Review: legacy mismatch",IF(G221="","Missing",IF(TRIM(G221)=TRIM(D221),"Review: same as English","Translated")))</x:f>
        <x:v>Review: same as English</x:v>
      </x:c>
      <x:c r="I221" s="27" t="str"/>
    </x:row>
    <x:row r="222" ht="34" customHeight="1">
      <x:c r="A222" s="25" t="n">
        <x:v>28</x:v>
      </x:c>
      <x:c r="B222" s="25" t="str">
        <x:v>question</x:v>
      </x:c>
      <x:c r="C222" s="25" t="str">
        <x:v>Question text | Resignation and Exit Clearance</x:v>
      </x:c>
      <x:c r="D222" s="25" t="str">
        <x:v>You decide to resign. Which action follows the handbook?</x:v>
      </x:c>
      <x:c r="E222" s="27" t="str">
        <x:v>You decide to resign. Which action follows the handbook?</x:v>
      </x:c>
      <x:c r="F222" s="25" t="str">
        <x:f>IF(ISNUMBER(SEARCH("Legacy translation mismatch",$I222)),"Review: legacy mismatch",IF(E222="","Missing",IF(TRIM(E222)=TRIM(D222),"Review: same as English","Translated")))</x:f>
        <x:v>Review: same as English</x:v>
      </x:c>
      <x:c r="G222" s="27" t="str">
        <x:v>You decide to resign. Which action follows the handbook?</x:v>
      </x:c>
      <x:c r="H222" s="25" t="str">
        <x:f>IF(ISNUMBER(SEARCH("Legacy translation mismatch",$I222)),"Review: legacy mismatch",IF(G222="","Missing",IF(TRIM(G222)=TRIM(D222),"Review: same as English","Translated")))</x:f>
        <x:v>Review: same as English</x:v>
      </x:c>
      <x:c r="I222" s="27" t="str">
        <x:v>Question translation is not currently provided.</x:v>
      </x:c>
    </x:row>
    <x:row r="223" ht="34" customHeight="1">
      <x:c r="A223" s="25" t="n">
        <x:v>28</x:v>
      </x:c>
      <x:c r="B223" s="25" t="str">
        <x:v>category</x:v>
      </x:c>
      <x:c r="C223" s="25" t="str">
        <x:v>Category label | Resignation and Exit Clearance</x:v>
      </x:c>
      <x:c r="D223" s="25" t="str">
        <x:v>Resignation and Exit Clearance</x:v>
      </x:c>
      <x:c r="E223" s="27" t="str">
        <x:v>Resignation and Exit Clearance</x:v>
      </x:c>
      <x:c r="F223" s="25" t="str">
        <x:f>IF(ISNUMBER(SEARCH("Legacy translation mismatch",$I223)),"Review: legacy mismatch",IF(E223="","Missing",IF(TRIM(E223)=TRIM(D223),"Review: same as English","Translated")))</x:f>
        <x:v>Review: same as English</x:v>
      </x:c>
      <x:c r="G223" s="27" t="str">
        <x:v>Resignation and Exit Clearance</x:v>
      </x:c>
      <x:c r="H223" s="25" t="str">
        <x:f>IF(ISNUMBER(SEARCH("Legacy translation mismatch",$I223)),"Review: legacy mismatch",IF(G223="","Missing",IF(TRIM(G223)=TRIM(D223),"Review: same as English","Translated")))</x:f>
        <x:v>Review: same as English</x:v>
      </x:c>
      <x:c r="I223" s="27" t="str"/>
    </x:row>
    <x:row r="224" ht="62" customHeight="1">
      <x:c r="A224" s="25" t="n">
        <x:v>28</x:v>
      </x:c>
      <x:c r="B224" s="25" t="str">
        <x:v>options[0]</x:v>
      </x:c>
      <x:c r="C224" s="25" t="str">
        <x:v>Answer option 1 | Resignation and Exit Clearance</x:v>
      </x:c>
      <x:c r="D224" s="25" t="str">
        <x:v>A. Send a written resignation letter to the Immediate Supervisor and HR, stating the intended last working day and notice to be served.</x:v>
      </x:c>
      <x:c r="E224" s="27" t="str">
        <x:v>A. Send a written resignation letter to the Immediate Supervisor and HR, stating the intended last working day and notice to be served.</x:v>
      </x:c>
      <x:c r="F224" s="25" t="str">
        <x:f>IF(ISNUMBER(SEARCH("Legacy translation mismatch",$I224)),"Review: legacy mismatch",IF(E224="","Missing",IF(TRIM(E224)=TRIM(D224),"Review: same as English","Translated")))</x:f>
        <x:v>Review: same as English</x:v>
      </x:c>
      <x:c r="G224" s="27" t="str">
        <x:v>A. Send a written resignation letter to the Immediate Supervisor and HR, stating the intended last working day and notice to be served.</x:v>
      </x:c>
      <x:c r="H224" s="25" t="str">
        <x:f>IF(ISNUMBER(SEARCH("Legacy translation mismatch",$I224)),"Review: legacy mismatch",IF(G224="","Missing",IF(TRIM(G224)=TRIM(D224),"Review: same as English","Translated")))</x:f>
        <x:v>Review: same as English</x:v>
      </x:c>
      <x:c r="I224" s="27" t="str"/>
    </x:row>
    <x:row r="225" ht="34" customHeight="1">
      <x:c r="A225" s="25" t="n">
        <x:v>28</x:v>
      </x:c>
      <x:c r="B225" s="25" t="str">
        <x:v>options[1]</x:v>
      </x:c>
      <x:c r="C225" s="25" t="str">
        <x:v>Answer option 2 | Resignation and Exit Clearance</x:v>
      </x:c>
      <x:c r="D225" s="25" t="str">
        <x:v>B. Tell the team verbally and stop attending after the final handover.</x:v>
      </x:c>
      <x:c r="E225" s="27" t="str">
        <x:v>B. Tell the team verbally and stop attending after the final handover.</x:v>
      </x:c>
      <x:c r="F225" s="25" t="str">
        <x:f>IF(ISNUMBER(SEARCH("Legacy translation mismatch",$I225)),"Review: legacy mismatch",IF(E225="","Missing",IF(TRIM(E225)=TRIM(D225),"Review: same as English","Translated")))</x:f>
        <x:v>Review: same as English</x:v>
      </x:c>
      <x:c r="G225" s="27" t="str">
        <x:v>B. Tell the team verbally and stop attending after the final handover.</x:v>
      </x:c>
      <x:c r="H225" s="25" t="str">
        <x:f>IF(ISNUMBER(SEARCH("Legacy translation mismatch",$I225)),"Review: legacy mismatch",IF(G225="","Missing",IF(TRIM(G225)=TRIM(D225),"Review: same as English","Translated")))</x:f>
        <x:v>Review: same as English</x:v>
      </x:c>
      <x:c r="I225" s="27" t="str"/>
    </x:row>
    <x:row r="226" ht="34" customHeight="1">
      <x:c r="A226" s="25" t="n">
        <x:v>28</x:v>
      </x:c>
      <x:c r="B226" s="25" t="str">
        <x:v>options[2]</x:v>
      </x:c>
      <x:c r="C226" s="25" t="str">
        <x:v>Answer option 3 | Resignation and Exit Clearance</x:v>
      </x:c>
      <x:c r="D226" s="25" t="str">
        <x:v>C. Submit the letter only after Management agrees to waive notice.</x:v>
      </x:c>
      <x:c r="E226" s="27" t="str">
        <x:v>C. Submit the letter only after Management agrees to waive notice.</x:v>
      </x:c>
      <x:c r="F226" s="25" t="str">
        <x:f>IF(ISNUMBER(SEARCH("Legacy translation mismatch",$I226)),"Review: legacy mismatch",IF(E226="","Missing",IF(TRIM(E226)=TRIM(D226),"Review: same as English","Translated")))</x:f>
        <x:v>Review: same as English</x:v>
      </x:c>
      <x:c r="G226" s="27" t="str">
        <x:v>C. Submit the letter only after Management agrees to waive notice.</x:v>
      </x:c>
      <x:c r="H226" s="25" t="str">
        <x:f>IF(ISNUMBER(SEARCH("Legacy translation mismatch",$I226)),"Review: legacy mismatch",IF(G226="","Missing",IF(TRIM(G226)=TRIM(D226),"Review: same as English","Translated")))</x:f>
        <x:v>Review: same as English</x:v>
      </x:c>
      <x:c r="I226" s="27" t="str"/>
    </x:row>
    <x:row r="227" ht="34" customHeight="1">
      <x:c r="A227" s="25" t="n">
        <x:v>28</x:v>
      </x:c>
      <x:c r="B227" s="25" t="str">
        <x:v>options[3]</x:v>
      </x:c>
      <x:c r="C227" s="25" t="str">
        <x:v>Answer option 4 | Resignation and Exit Clearance</x:v>
      </x:c>
      <x:c r="D227" s="25" t="str">
        <x:v>D. Send the letter to a colleague and ask them to inform HR later.</x:v>
      </x:c>
      <x:c r="E227" s="27" t="str">
        <x:v>D. Send the letter to a colleague and ask them to inform HR later.</x:v>
      </x:c>
      <x:c r="F227" s="25" t="str">
        <x:f>IF(ISNUMBER(SEARCH("Legacy translation mismatch",$I227)),"Review: legacy mismatch",IF(E227="","Missing",IF(TRIM(E227)=TRIM(D227),"Review: same as English","Translated")))</x:f>
        <x:v>Review: same as English</x:v>
      </x:c>
      <x:c r="G227" s="27" t="str">
        <x:v>D. Send the letter to a colleague and ask them to inform HR later.</x:v>
      </x:c>
      <x:c r="H227" s="25" t="str">
        <x:f>IF(ISNUMBER(SEARCH("Legacy translation mismatch",$I227)),"Review: legacy mismatch",IF(G227="","Missing",IF(TRIM(G227)=TRIM(D227),"Review: same as English","Translated")))</x:f>
        <x:v>Review: same as English</x:v>
      </x:c>
      <x:c r="I227" s="27" t="str"/>
    </x:row>
    <x:row r="228" ht="76" customHeight="1">
      <x:c r="A228" s="25" t="n">
        <x:v>28</x:v>
      </x:c>
      <x:c r="B228" s="25" t="str">
        <x:v>explanation</x:v>
      </x:c>
      <x:c r="C228" s="25" t="str">
        <x:v>Answer explanation | Resignation and Exit Clearance</x:v>
      </x:c>
      <x:c r="D228" s="25" t="str">
        <x:v>A written resignation must be submitted to the Immediate Supervisor and HR and should state the intended last working day and notice period. The Employment Contract controls the applicable notice length.</x:v>
      </x:c>
      <x:c r="E228" s="27" t="str">
        <x:v>A written resignation must be submitted to the Immediate Supervisor and HR and should state the intended last working day and notice period. The Employment Contract controls the applicable notice length.</x:v>
      </x:c>
      <x:c r="F228" s="25" t="str">
        <x:f>IF(ISNUMBER(SEARCH("Legacy translation mismatch",$I228)),"Review: legacy mismatch",IF(E228="","Missing",IF(TRIM(E228)=TRIM(D228),"Review: same as English","Translated")))</x:f>
        <x:v>Review: same as English</x:v>
      </x:c>
      <x:c r="G228" s="27" t="str">
        <x:v>A written resignation must be submitted to the Immediate Supervisor and HR and should state the intended last working day and notice period. The Employment Contract controls the applicable notice length.</x:v>
      </x:c>
      <x:c r="H228" s="25" t="str">
        <x:f>IF(ISNUMBER(SEARCH("Legacy translation mismatch",$I228)),"Review: legacy mismatch",IF(G228="","Missing",IF(TRIM(G228)=TRIM(D228),"Review: same as English","Translated")))</x:f>
        <x:v>Review: same as English</x:v>
      </x:c>
      <x:c r="I228" s="27" t="str"/>
    </x:row>
    <x:row r="229" ht="34" customHeight="1">
      <x:c r="A229" s="25" t="n">
        <x:v>28</x:v>
      </x:c>
      <x:c r="B229" s="25" t="str">
        <x:v>handbookSource</x:v>
      </x:c>
      <x:c r="C229" s="25" t="str">
        <x:v>Handbook source citation | Resignation and Exit Clearance</x:v>
      </x:c>
      <x:c r="D229" s="25" t="str">
        <x:v>Part 14, Resignation and Notice Period Policies (PDF pp. 87-88)</x:v>
      </x:c>
      <x:c r="E229" s="27" t="str">
        <x:v>Part 14, Resignation and Notice Period Policies (PDF pp. 87-88)</x:v>
      </x:c>
      <x:c r="F229" s="25" t="str">
        <x:f>IF(ISNUMBER(SEARCH("Legacy translation mismatch",$I229)),"Review: legacy mismatch",IF(E229="","Missing",IF(TRIM(E229)=TRIM(D229),"Review: same as English","Translated")))</x:f>
        <x:v>Review: same as English</x:v>
      </x:c>
      <x:c r="G229" s="27" t="str">
        <x:v>Part 14, Resignation and Notice Period Policies (PDF pp. 87-88)</x:v>
      </x:c>
      <x:c r="H229" s="25" t="str">
        <x:f>IF(ISNUMBER(SEARCH("Legacy translation mismatch",$I229)),"Review: legacy mismatch",IF(G229="","Missing",IF(TRIM(G229)=TRIM(D229),"Review: same as English","Translated")))</x:f>
        <x:v>Review: same as English</x:v>
      </x:c>
      <x:c r="I229" s="27" t="str"/>
    </x:row>
    <x:row r="230" ht="48" customHeight="1">
      <x:c r="A230" s="25" t="n">
        <x:v>29</x:v>
      </x:c>
      <x:c r="B230" s="25" t="str">
        <x:v>question</x:v>
      </x:c>
      <x:c r="C230" s="25" t="str">
        <x:v>Question text | Resignation and Exit Clearance</x:v>
      </x:c>
      <x:c r="D230" s="25" t="str">
        <x:v>Before leaving the Company, which set of actions best meets the employee's exit obligations?</x:v>
      </x:c>
      <x:c r="E230" s="27" t="str">
        <x:v>Before leaving the Company, which set of actions best meets the employee's exit obligations?</x:v>
      </x:c>
      <x:c r="F230" s="25" t="str">
        <x:f>IF(ISNUMBER(SEARCH("Legacy translation mismatch",$I230)),"Review: legacy mismatch",IF(E230="","Missing",IF(TRIM(E230)=TRIM(D230),"Review: same as English","Translated")))</x:f>
        <x:v>Review: same as English</x:v>
      </x:c>
      <x:c r="G230" s="27" t="str">
        <x:v>Before leaving the Company, which set of actions best meets the employee's exit obligations?</x:v>
      </x:c>
      <x:c r="H230" s="25" t="str">
        <x:f>IF(ISNUMBER(SEARCH("Legacy translation mismatch",$I230)),"Review: legacy mismatch",IF(G230="","Missing",IF(TRIM(G230)=TRIM(D230),"Review: same as English","Translated")))</x:f>
        <x:v>Review: same as English</x:v>
      </x:c>
      <x:c r="I230" s="27" t="str">
        <x:v>Question translation is not currently provided.</x:v>
      </x:c>
    </x:row>
    <x:row r="231" ht="34" customHeight="1">
      <x:c r="A231" s="25" t="n">
        <x:v>29</x:v>
      </x:c>
      <x:c r="B231" s="25" t="str">
        <x:v>category</x:v>
      </x:c>
      <x:c r="C231" s="25" t="str">
        <x:v>Category label | Resignation and Exit Clearance</x:v>
      </x:c>
      <x:c r="D231" s="25" t="str">
        <x:v>Resignation and Exit Clearance</x:v>
      </x:c>
      <x:c r="E231" s="27" t="str">
        <x:v>Resignation and Exit Clearance</x:v>
      </x:c>
      <x:c r="F231" s="25" t="str">
        <x:f>IF(ISNUMBER(SEARCH("Legacy translation mismatch",$I231)),"Review: legacy mismatch",IF(E231="","Missing",IF(TRIM(E231)=TRIM(D231),"Review: same as English","Translated")))</x:f>
        <x:v>Review: same as English</x:v>
      </x:c>
      <x:c r="G231" s="27" t="str">
        <x:v>Resignation and Exit Clearance</x:v>
      </x:c>
      <x:c r="H231" s="25" t="str">
        <x:f>IF(ISNUMBER(SEARCH("Legacy translation mismatch",$I231)),"Review: legacy mismatch",IF(G231="","Missing",IF(TRIM(G231)=TRIM(D231),"Review: same as English","Translated")))</x:f>
        <x:v>Review: same as English</x:v>
      </x:c>
      <x:c r="I231" s="27" t="str"/>
    </x:row>
    <x:row r="232" ht="76" customHeight="1">
      <x:c r="A232" s="25" t="n">
        <x:v>29</x:v>
      </x:c>
      <x:c r="B232" s="25" t="str">
        <x:v>options[0]</x:v>
      </x:c>
      <x:c r="C232" s="25" t="str">
        <x:v>Answer option 1 | Resignation and Exit Clearance</x:v>
      </x:c>
      <x:c r="D232" s="25" t="str">
        <x:v>A. Complete the handover, return physical property and digital credentials, settle outstanding matters, and continue protecting confidential information after employment.</x:v>
      </x:c>
      <x:c r="E232" s="27" t="str">
        <x:v>A. Complete the handover, return physical property and digital credentials, settle outstanding matters, and continue protecting confidential information after employment.</x:v>
      </x:c>
      <x:c r="F232" s="25" t="str">
        <x:f>IF(ISNUMBER(SEARCH("Legacy translation mismatch",$I232)),"Review: legacy mismatch",IF(E232="","Missing",IF(TRIM(E232)=TRIM(D232),"Review: same as English","Translated")))</x:f>
        <x:v>Review: same as English</x:v>
      </x:c>
      <x:c r="G232" s="27" t="str">
        <x:v>A. Complete the handover, return physical property and digital credentials, settle outstanding matters, and continue protecting confidential information after employment.</x:v>
      </x:c>
      <x:c r="H232" s="25" t="str">
        <x:f>IF(ISNUMBER(SEARCH("Legacy translation mismatch",$I232)),"Review: legacy mismatch",IF(G232="","Missing",IF(TRIM(G232)=TRIM(D232),"Review: same as English","Translated")))</x:f>
        <x:v>Review: same as English</x:v>
      </x:c>
      <x:c r="I232" s="27" t="str"/>
    </x:row>
    <x:row r="233" ht="48" customHeight="1">
      <x:c r="A233" s="25" t="n">
        <x:v>29</x:v>
      </x:c>
      <x:c r="B233" s="25" t="str">
        <x:v>options[1]</x:v>
      </x:c>
      <x:c r="C233" s="25" t="str">
        <x:v>Answer option 2 | Resignation and Exit Clearance</x:v>
      </x:c>
      <x:c r="D233" s="25" t="str">
        <x:v>B. Return only items recorded in the asset register and keep account passwords for reference.</x:v>
      </x:c>
      <x:c r="E233" s="27" t="str">
        <x:v>B. Return only items recorded in the asset register and keep account passwords for reference.</x:v>
      </x:c>
      <x:c r="F233" s="25" t="str">
        <x:f>IF(ISNUMBER(SEARCH("Legacy translation mismatch",$I233)),"Review: legacy mismatch",IF(E233="","Missing",IF(TRIM(E233)=TRIM(D233),"Review: same as English","Translated")))</x:f>
        <x:v>Review: same as English</x:v>
      </x:c>
      <x:c r="G233" s="27" t="str">
        <x:v>B. Return only items recorded in the asset register and keep account passwords for reference.</x:v>
      </x:c>
      <x:c r="H233" s="25" t="str">
        <x:f>IF(ISNUMBER(SEARCH("Legacy translation mismatch",$I233)),"Review: legacy mismatch",IF(G233="","Missing",IF(TRIM(G233)=TRIM(D233),"Review: same as English","Translated")))</x:f>
        <x:v>Review: same as English</x:v>
      </x:c>
      <x:c r="I233" s="27" t="str"/>
    </x:row>
    <x:row r="234" ht="34" customHeight="1">
      <x:c r="A234" s="25" t="n">
        <x:v>29</x:v>
      </x:c>
      <x:c r="B234" s="25" t="str">
        <x:v>options[2]</x:v>
      </x:c>
      <x:c r="C234" s="25" t="str">
        <x:v>Answer option 3 | Resignation and Exit Clearance</x:v>
      </x:c>
      <x:c r="D234" s="25" t="str">
        <x:v>C. Delete all client files from Company systems after making a personal backup.</x:v>
      </x:c>
      <x:c r="E234" s="27" t="str">
        <x:v>C. Delete all client files from Company systems after making a personal backup.</x:v>
      </x:c>
      <x:c r="F234" s="25" t="str">
        <x:f>IF(ISNUMBER(SEARCH("Legacy translation mismatch",$I234)),"Review: legacy mismatch",IF(E234="","Missing",IF(TRIM(E234)=TRIM(D234),"Review: same as English","Translated")))</x:f>
        <x:v>Review: same as English</x:v>
      </x:c>
      <x:c r="G234" s="27" t="str">
        <x:v>C. Delete all client files from Company systems after making a personal backup.</x:v>
      </x:c>
      <x:c r="H234" s="25" t="str">
        <x:f>IF(ISNUMBER(SEARCH("Legacy translation mismatch",$I234)),"Review: legacy mismatch",IF(G234="","Missing",IF(TRIM(G234)=TRIM(D234),"Review: same as English","Translated")))</x:f>
        <x:v>Review: same as English</x:v>
      </x:c>
      <x:c r="I234" s="27" t="str"/>
    </x:row>
    <x:row r="235" ht="34" customHeight="1">
      <x:c r="A235" s="25" t="n">
        <x:v>29</x:v>
      </x:c>
      <x:c r="B235" s="25" t="str">
        <x:v>options[3]</x:v>
      </x:c>
      <x:c r="C235" s="25" t="str">
        <x:v>Answer option 4 | Resignation and Exit Clearance</x:v>
      </x:c>
      <x:c r="D235" s="25" t="str">
        <x:v>D. Complete the exit interview; no other clearance is required.</x:v>
      </x:c>
      <x:c r="E235" s="27" t="str">
        <x:v>D. Complete the exit interview; no other clearance is required.</x:v>
      </x:c>
      <x:c r="F235" s="25" t="str">
        <x:f>IF(ISNUMBER(SEARCH("Legacy translation mismatch",$I235)),"Review: legacy mismatch",IF(E235="","Missing",IF(TRIM(E235)=TRIM(D235),"Review: same as English","Translated")))</x:f>
        <x:v>Review: same as English</x:v>
      </x:c>
      <x:c r="G235" s="27" t="str">
        <x:v>D. Complete the exit interview; no other clearance is required.</x:v>
      </x:c>
      <x:c r="H235" s="25" t="str">
        <x:f>IF(ISNUMBER(SEARCH("Legacy translation mismatch",$I235)),"Review: legacy mismatch",IF(G235="","Missing",IF(TRIM(G235)=TRIM(D235),"Review: same as English","Translated")))</x:f>
        <x:v>Review: same as English</x:v>
      </x:c>
      <x:c r="I235" s="27" t="str"/>
    </x:row>
    <x:row r="236" ht="76" customHeight="1">
      <x:c r="A236" s="25" t="n">
        <x:v>29</x:v>
      </x:c>
      <x:c r="B236" s="25" t="str">
        <x:v>explanation</x:v>
      </x:c>
      <x:c r="C236" s="25" t="str">
        <x:v>Answer explanation | Resignation and Exit Clearance</x:v>
      </x:c>
      <x:c r="D236" s="25" t="str">
        <x:v>Exit clearance includes handover, return of Company property and digital assets, closure of access rights and settlement of administrative matters. Confidentiality continues after employment.</x:v>
      </x:c>
      <x:c r="E236" s="27" t="str">
        <x:v>Exit clearance includes handover, return of Company property and digital assets, closure of access rights and settlement of administrative matters. Confidentiality continues after employment.</x:v>
      </x:c>
      <x:c r="F236" s="25" t="str">
        <x:f>IF(ISNUMBER(SEARCH("Legacy translation mismatch",$I236)),"Review: legacy mismatch",IF(E236="","Missing",IF(TRIM(E236)=TRIM(D236),"Review: same as English","Translated")))</x:f>
        <x:v>Review: same as English</x:v>
      </x:c>
      <x:c r="G236" s="27" t="str">
        <x:v>Exit clearance includes handover, return of Company property and digital assets, closure of access rights and settlement of administrative matters. Confidentiality continues after employment.</x:v>
      </x:c>
      <x:c r="H236" s="25" t="str">
        <x:f>IF(ISNUMBER(SEARCH("Legacy translation mismatch",$I236)),"Review: legacy mismatch",IF(G236="","Missing",IF(TRIM(G236)=TRIM(D236),"Review: same as English","Translated")))</x:f>
        <x:v>Review: same as English</x:v>
      </x:c>
      <x:c r="I236" s="27" t="str"/>
    </x:row>
    <x:row r="237" ht="48" customHeight="1">
      <x:c r="A237" s="25" t="n">
        <x:v>29</x:v>
      </x:c>
      <x:c r="B237" s="25" t="str">
        <x:v>handbookSource</x:v>
      </x:c>
      <x:c r="C237" s="25" t="str">
        <x:v>Handbook source citation | Resignation and Exit Clearance</x:v>
      </x:c>
      <x:c r="D237" s="25" t="str">
        <x:v>Part 14, Exit Clearance and Post-Employment Obligations (PDF pp. 90-92; duplicated at pp. 95-97)</x:v>
      </x:c>
      <x:c r="E237" s="27" t="str">
        <x:v>Part 14, Exit Clearance and Post-Employment Obligations (PDF pp. 90-92; duplicated at pp. 95-97)</x:v>
      </x:c>
      <x:c r="F237" s="25" t="str">
        <x:f>IF(ISNUMBER(SEARCH("Legacy translation mismatch",$I237)),"Review: legacy mismatch",IF(E237="","Missing",IF(TRIM(E237)=TRIM(D237),"Review: same as English","Translated")))</x:f>
        <x:v>Review: same as English</x:v>
      </x:c>
      <x:c r="G237" s="27" t="str">
        <x:v>Part 14, Exit Clearance and Post-Employment Obligations (PDF pp. 90-92; duplicated at pp. 95-97)</x:v>
      </x:c>
      <x:c r="H237" s="25" t="str">
        <x:f>IF(ISNUMBER(SEARCH("Legacy translation mismatch",$I237)),"Review: legacy mismatch",IF(G237="","Missing",IF(TRIM(G237)=TRIM(D237),"Review: same as English","Translated")))</x:f>
        <x:v>Review: same as English</x:v>
      </x:c>
      <x:c r="I237" s="27" t="str"/>
    </x:row>
    <x:row r="238" ht="76" customHeight="1">
      <x:c r="A238" s="25" t="n">
        <x:v>30</x:v>
      </x:c>
      <x:c r="B238" s="25" t="str">
        <x:v>question</x:v>
      </x:c>
      <x:c r="C238" s="25" t="str">
        <x:v>Question text | General Employee Responsibilities</x:v>
      </x:c>
      <x:c r="D238" s="25" t="str">
        <x:v>True or False: Employees are responsible for reading and following the Handbook, complying with later amendments and Company directives, and asking HR for clarification when needed.</x:v>
      </x:c>
      <x:c r="E238" s="27" t="str">
        <x:v>True or False: Employees are responsible for reading and following the Handbook, complying with later amendments and Company directives, and asking HR for clarification when needed.</x:v>
      </x:c>
      <x:c r="F238" s="25" t="str">
        <x:f>IF(ISNUMBER(SEARCH("Legacy translation mismatch",$I238)),"Review: legacy mismatch",IF(E238="","Missing",IF(TRIM(E238)=TRIM(D238),"Review: same as English","Translated")))</x:f>
        <x:v>Review: same as English</x:v>
      </x:c>
      <x:c r="G238" s="27" t="str">
        <x:v>True or False: Employees are responsible for reading and following the Handbook, complying with later amendments and Company directives, and asking HR for clarification when needed.</x:v>
      </x:c>
      <x:c r="H238" s="25" t="str">
        <x:f>IF(ISNUMBER(SEARCH("Legacy translation mismatch",$I238)),"Review: legacy mismatch",IF(G238="","Missing",IF(TRIM(G238)=TRIM(D238),"Review: same as English","Translated")))</x:f>
        <x:v>Review: same as English</x:v>
      </x:c>
      <x:c r="I238" s="27" t="str">
        <x:v>Question translation is not currently provided.</x:v>
      </x:c>
    </x:row>
    <x:row r="239" ht="34" customHeight="1">
      <x:c r="A239" s="25" t="n">
        <x:v>30</x:v>
      </x:c>
      <x:c r="B239" s="25" t="str">
        <x:v>category</x:v>
      </x:c>
      <x:c r="C239" s="25" t="str">
        <x:v>Category label | General Employee Responsibilities</x:v>
      </x:c>
      <x:c r="D239" s="25" t="str">
        <x:v>General Employee Responsibilities</x:v>
      </x:c>
      <x:c r="E239" s="27" t="str">
        <x:v>General Employee Responsibilities</x:v>
      </x:c>
      <x:c r="F239" s="25" t="str">
        <x:f>IF(ISNUMBER(SEARCH("Legacy translation mismatch",$I239)),"Review: legacy mismatch",IF(E239="","Missing",IF(TRIM(E239)=TRIM(D239),"Review: same as English","Translated")))</x:f>
        <x:v>Review: same as English</x:v>
      </x:c>
      <x:c r="G239" s="27" t="str">
        <x:v>General Employee Responsibilities</x:v>
      </x:c>
      <x:c r="H239" s="25" t="str">
        <x:f>IF(ISNUMBER(SEARCH("Legacy translation mismatch",$I239)),"Review: legacy mismatch",IF(G239="","Missing",IF(TRIM(G239)=TRIM(D239),"Review: same as English","Translated")))</x:f>
        <x:v>Review: same as English</x:v>
      </x:c>
      <x:c r="I239" s="27" t="str"/>
    </x:row>
    <x:row r="240" ht="34" customHeight="1">
      <x:c r="A240" s="25" t="n">
        <x:v>30</x:v>
      </x:c>
      <x:c r="B240" s="25" t="str">
        <x:v>options[0]</x:v>
      </x:c>
      <x:c r="C240" s="25" t="str">
        <x:v>Answer option 1 | General Employee Responsibilities</x:v>
      </x:c>
      <x:c r="D240" s="25" t="str">
        <x:v>A. True</x:v>
      </x:c>
      <x:c r="E240" s="27" t="str">
        <x:v>A. True</x:v>
      </x:c>
      <x:c r="F240" s="25" t="str">
        <x:f>IF(ISNUMBER(SEARCH("Legacy translation mismatch",$I240)),"Review: legacy mismatch",IF(E240="","Missing",IF(TRIM(E240)=TRIM(D240),"Review: same as English","Translated")))</x:f>
        <x:v>Review: same as English</x:v>
      </x:c>
      <x:c r="G240" s="27" t="str">
        <x:v>A. True</x:v>
      </x:c>
      <x:c r="H240" s="25" t="str">
        <x:f>IF(ISNUMBER(SEARCH("Legacy translation mismatch",$I240)),"Review: legacy mismatch",IF(G240="","Missing",IF(TRIM(G240)=TRIM(D240),"Review: same as English","Translated")))</x:f>
        <x:v>Review: same as English</x:v>
      </x:c>
      <x:c r="I240" s="27" t="str"/>
    </x:row>
    <x:row r="241" ht="34" customHeight="1">
      <x:c r="A241" s="25" t="n">
        <x:v>30</x:v>
      </x:c>
      <x:c r="B241" s="25" t="str">
        <x:v>options[1]</x:v>
      </x:c>
      <x:c r="C241" s="25" t="str">
        <x:v>Answer option 2 | General Employee Responsibilities</x:v>
      </x:c>
      <x:c r="D241" s="25" t="str">
        <x:v>B. False</x:v>
      </x:c>
      <x:c r="E241" s="27" t="str">
        <x:v>B. False</x:v>
      </x:c>
      <x:c r="F241" s="25" t="str">
        <x:f>IF(ISNUMBER(SEARCH("Legacy translation mismatch",$I241)),"Review: legacy mismatch",IF(E241="","Missing",IF(TRIM(E241)=TRIM(D241),"Review: same as English","Translated")))</x:f>
        <x:v>Review: same as English</x:v>
      </x:c>
      <x:c r="G241" s="27" t="str">
        <x:v>B. False</x:v>
      </x:c>
      <x:c r="H241" s="25" t="str">
        <x:f>IF(ISNUMBER(SEARCH("Legacy translation mismatch",$I241)),"Review: legacy mismatch",IF(G241="","Missing",IF(TRIM(G241)=TRIM(D241),"Review: same as English","Translated")))</x:f>
        <x:v>Review: same as English</x:v>
      </x:c>
      <x:c r="I241" s="27" t="str"/>
    </x:row>
    <x:row r="242" ht="76" customHeight="1">
      <x:c r="A242" s="25" t="n">
        <x:v>30</x:v>
      </x:c>
      <x:c r="B242" s="25" t="str">
        <x:v>explanation</x:v>
      </x:c>
      <x:c r="C242" s="25" t="str">
        <x:v>Answer explanation | General Employee Responsibilities</x:v>
      </x:c>
      <x:c r="D242" s="25" t="str">
        <x:v>The Final Provisions and Employee Acknowledgement make employees responsible for understanding, following and staying updated on Company policies and seeking HR clarification when required.</x:v>
      </x:c>
      <x:c r="E242" s="27" t="str">
        <x:v>The Final Provisions and Employee Acknowledgement make employees responsible for understanding, following and staying updated on Company policies and seeking HR clarification when required.</x:v>
      </x:c>
      <x:c r="F242" s="25" t="str">
        <x:f>IF(ISNUMBER(SEARCH("Legacy translation mismatch",$I242)),"Review: legacy mismatch",IF(E242="","Missing",IF(TRIM(E242)=TRIM(D242),"Review: same as English","Translated")))</x:f>
        <x:v>Review: same as English</x:v>
      </x:c>
      <x:c r="G242" s="27" t="str">
        <x:v>The Final Provisions and Employee Acknowledgement make employees responsible for understanding, following and staying updated on Company policies and seeking HR clarification when required.</x:v>
      </x:c>
      <x:c r="H242" s="25" t="str">
        <x:f>IF(ISNUMBER(SEARCH("Legacy translation mismatch",$I242)),"Review: legacy mismatch",IF(G242="","Missing",IF(TRIM(G242)=TRIM(D242),"Review: same as English","Translated")))</x:f>
        <x:v>Review: same as English</x:v>
      </x:c>
      <x:c r="I242" s="27" t="str"/>
    </x:row>
    <x:row r="243" ht="34" customHeight="1">
      <x:c r="A243" s="25" t="n">
        <x:v>30</x:v>
      </x:c>
      <x:c r="B243" s="25" t="str">
        <x:v>handbookSource</x:v>
      </x:c>
      <x:c r="C243" s="25" t="str">
        <x:v>Handbook source citation | General Employee Responsibilities</x:v>
      </x:c>
      <x:c r="D243" s="25" t="str">
        <x:v>Final Provisions and Employee Acknowledgement (PDF pp. 98-99)</x:v>
      </x:c>
      <x:c r="E243" s="27" t="str">
        <x:v>Final Provisions and Employee Acknowledgement (PDF pp. 98-99)</x:v>
      </x:c>
      <x:c r="F243" s="25" t="str">
        <x:f>IF(ISNUMBER(SEARCH("Legacy translation mismatch",$I243)),"Review: legacy mismatch",IF(E243="","Missing",IF(TRIM(E243)=TRIM(D243),"Review: same as English","Translated")))</x:f>
        <x:v>Review: same as English</x:v>
      </x:c>
      <x:c r="G243" s="27" t="str">
        <x:v>Final Provisions and Employee Acknowledgement (PDF pp. 98-99)</x:v>
      </x:c>
      <x:c r="H243" s="25" t="str">
        <x:f>IF(ISNUMBER(SEARCH("Legacy translation mismatch",$I243)),"Review: legacy mismatch",IF(G243="","Missing",IF(TRIM(G243)=TRIM(D243),"Review: same as English","Translated")))</x:f>
        <x:v>Review: same as English</x:v>
      </x:c>
      <x:c r="I243" s="27" t="str"/>
    </x:row>
  </x:sheetData>
  <x:mergeCells>
    <x:mergeCell ref="A1:I1"/>
    <x:mergeCell ref="A2:I2"/>
  </x:mergeCells>
  <x:conditionalFormatting sqref="F5:F243">
    <x:cfRule type="containsText" dxfId="12" priority="1" operator="containsText" text="Missing"/>
    <x:cfRule type="containsText" dxfId="13" priority="2" operator="containsText" text="Review"/>
    <x:cfRule type="containsText" dxfId="14" priority="3" operator="containsText" text="Translated"/>
  </x:conditionalFormatting>
  <x:conditionalFormatting sqref="H5:H243">
    <x:cfRule type="containsText" dxfId="15" priority="4" operator="containsText" text="Missing"/>
    <x:cfRule type="containsText" dxfId="16" priority="5" operator="containsText" text="Review"/>
    <x:cfRule type="containsText" dxfId="17" priority="6" operator="containsText" text="Translated"/>
  </x:conditionalFormatting>
  <x:pageMargins left="0.7" right="0.7" top="0.75" bottom="0.75" header="0.3" footer="0.3"/>
  <x:tableParts count="1">
    <x:tablePart xmlns:r="http://schemas.openxmlformats.org/officeDocument/2006/relationships" r:id="R474b345007d7456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8" hidden="0" customWidth="1"/>
    <x:col min="3" max="3" width="40" hidden="0" customWidth="1"/>
    <x:col min="4" max="4" width="24" hidden="0" customWidth="1"/>
    <x:col min="5" max="5" width="55" hidden="0" customWidth="1"/>
    <x:col min="6" max="6" width="55" hidden="0" customWidth="1"/>
    <x:col min="7" max="7" width="20" hidden="0" customWidth="1"/>
    <x:col min="8" max="8" width="55" hidden="0" customWidth="1"/>
    <x:col min="9" max="9" width="20" hidden="0" customWidth="1"/>
    <x:col min="10" max="10" width="42" hidden="0" customWidth="1"/>
  </x:cols>
  <x:sheetData>
    <x:row r="1" ht="28" customHeight="1">
      <x:c r="A1" s="3" t="str">
        <x:v>Hardcoded Portal Copy Requiring Localization</x:v>
      </x:c>
      <x:c r="B1" s="3"/>
      <x:c r="C1" s="3"/>
      <x:c r="D1" s="3"/>
      <x:c r="E1" s="3"/>
      <x:c r="F1" s="3"/>
      <x:c r="G1" s="3"/>
      <x:c r="H1" s="3"/>
      <x:c r="I1" s="3"/>
      <x:c r="J1" s="3"/>
    </x:row>
    <x:row r="2" ht="36" customHeight="1">
      <x:c r="A2" s="7" t="str">
        <x:v>These visible strings are still embedded directly in retained portal components and are not currently controlled by UI_TRANSLATIONS.</x:v>
      </x:c>
      <x:c r="B2" s="7"/>
      <x:c r="C2" s="7"/>
      <x:c r="D2" s="7"/>
      <x:c r="E2" s="7"/>
      <x:c r="F2" s="7"/>
      <x:c r="G2" s="7"/>
      <x:c r="H2" s="7"/>
      <x:c r="I2" s="7"/>
      <x:c r="J2" s="7"/>
    </x:row>
    <x:row r="4">
      <x:c r="A4" s="16" t="str">
        <x:v>Source File</x:v>
      </x:c>
      <x:c r="B4" s="17" t="str">
        <x:v>Line</x:v>
      </x:c>
      <x:c r="C4" s="17" t="str">
        <x:v>Proposed Key</x:v>
      </x:c>
      <x:c r="D4" s="17" t="str">
        <x:v>Context</x:v>
      </x:c>
      <x:c r="E4" s="17" t="str">
        <x:v>English Source</x:v>
      </x:c>
      <x:c r="F4" s="17" t="str">
        <x:v>Malay (ms)</x:v>
      </x:c>
      <x:c r="G4" s="17" t="str">
        <x:v>Malay Status</x:v>
      </x:c>
      <x:c r="H4" s="17" t="str">
        <x:v>Chinese (zh)</x:v>
      </x:c>
      <x:c r="I4" s="17" t="str">
        <x:v>Chinese Status</x:v>
      </x:c>
      <x:c r="J4" s="18" t="str">
        <x:v>Implementation Notes</x:v>
      </x:c>
    </x:row>
    <x:row r="5" ht="34" customHeight="1">
      <x:c r="A5" s="24" t="str">
        <x:v>DocumentPreviewModal.tsx</x:v>
      </x:c>
      <x:c r="B5" s="24" t="n">
        <x:v>51</x:v>
      </x:c>
      <x:c r="C5" s="24" t="str">
        <x:v>hardcoded.DocumentPreviewModal.51</x:v>
      </x:c>
      <x:c r="D5" s="24" t="str">
        <x:v>Visible JSX text</x:v>
      </x:c>
      <x:c r="E5" s="24" t="str">
        <x:v>Document Preview — Official Handbook Record</x:v>
      </x:c>
      <x:c r="F5" s="26" t="str"/>
      <x:c r="G5" s="24" t="str">
        <x:f>IF(F5="","Missing",IF(TRIM(F5)=TRIM(E5),"Review: same as English","Translated"))</x:f>
        <x:v>Missing</x:v>
      </x:c>
      <x:c r="H5" s="26" t="str"/>
      <x:c r="I5" s="24" t="str">
        <x:f>IF(H5="","Missing",IF(TRIM(H5)=TRIM(E5),"Review: same as English","Translated"))</x:f>
        <x:v>Missing</x:v>
      </x:c>
      <x:c r="J5" s="26" t="str">
        <x:v>Move this text into UI_TRANSLATIONS when implementing the completed pack.</x:v>
      </x:c>
    </x:row>
    <x:row r="6" ht="34" customHeight="1">
      <x:c r="A6" s="25" t="str">
        <x:v>DocumentPreviewModal.tsx</x:v>
      </x:c>
      <x:c r="B6" s="25" t="n">
        <x:v>80</x:v>
      </x:c>
      <x:c r="C6" s="25" t="str">
        <x:v>hardcoded.DocumentPreviewModal.80</x:v>
      </x:c>
      <x:c r="D6" s="25" t="str">
        <x:v>Visible JSX text</x:v>
      </x:c>
      <x:c r="E6" s="25" t="str">
        <x:v>REDPOINT</x:v>
      </x:c>
      <x:c r="F6" s="27" t="str"/>
      <x:c r="G6" s="25" t="str">
        <x:f>IF(F6="","Missing",IF(TRIM(F6)=TRIM(E6),"Review: same as English","Translated"))</x:f>
        <x:v>Missing</x:v>
      </x:c>
      <x:c r="H6" s="27" t="str"/>
      <x:c r="I6" s="25" t="str">
        <x:f>IF(H6="","Missing",IF(TRIM(H6)=TRIM(E6),"Review: same as English","Translated"))</x:f>
        <x:v>Missing</x:v>
      </x:c>
      <x:c r="J6" s="27" t="str">
        <x:v>Move this text into UI_TRANSLATIONS when implementing the completed pack.</x:v>
      </x:c>
    </x:row>
    <x:row r="7" ht="34" customHeight="1">
      <x:c r="A7" s="25" t="str">
        <x:v>DocumentPreviewModal.tsx</x:v>
      </x:c>
      <x:c r="B7" s="25" t="n">
        <x:v>83</x:v>
      </x:c>
      <x:c r="C7" s="25" t="str">
        <x:v>hardcoded.DocumentPreviewModal.83</x:v>
      </x:c>
      <x:c r="D7" s="25" t="str">
        <x:v>Visible JSX text</x:v>
      </x:c>
      <x:c r="E7" s="25" t="str">
        <x:v>Sdn. Bhd. (1234567-X)</x:v>
      </x:c>
      <x:c r="F7" s="27" t="str"/>
      <x:c r="G7" s="25" t="str">
        <x:f>IF(F7="","Missing",IF(TRIM(F7)=TRIM(E7),"Review: same as English","Translated"))</x:f>
        <x:v>Missing</x:v>
      </x:c>
      <x:c r="H7" s="27" t="str"/>
      <x:c r="I7" s="25" t="str">
        <x:f>IF(H7="","Missing",IF(TRIM(H7)=TRIM(E7),"Review: same as English","Translated"))</x:f>
        <x:v>Missing</x:v>
      </x:c>
      <x:c r="J7" s="27" t="str">
        <x:v>Move this text into UI_TRANSLATIONS when implementing the completed pack.</x:v>
      </x:c>
    </x:row>
    <x:row r="8" ht="34" customHeight="1">
      <x:c r="A8" s="25" t="str">
        <x:v>DocumentPreviewModal.tsx</x:v>
      </x:c>
      <x:c r="B8" s="25" t="n">
        <x:v>87</x:v>
      </x:c>
      <x:c r="C8" s="25" t="str">
        <x:v>hardcoded.DocumentPreviewModal.87</x:v>
      </x:c>
      <x:c r="D8" s="25" t="str">
        <x:v>Visible JSX text</x:v>
      </x:c>
      <x:c r="E8" s="25" t="str">
        <x:v>EMPLOYEE HANDBOOK ACKNOWLEDGEMENT</x:v>
      </x:c>
      <x:c r="F8" s="27" t="str"/>
      <x:c r="G8" s="25" t="str">
        <x:f>IF(F8="","Missing",IF(TRIM(F8)=TRIM(E8),"Review: same as English","Translated"))</x:f>
        <x:v>Missing</x:v>
      </x:c>
      <x:c r="H8" s="27" t="str"/>
      <x:c r="I8" s="25" t="str">
        <x:f>IF(H8="","Missing",IF(TRIM(H8)=TRIM(E8),"Review: same as English","Translated"))</x:f>
        <x:v>Missing</x:v>
      </x:c>
      <x:c r="J8" s="27" t="str">
        <x:v>Move this text into UI_TRANSLATIONS when implementing the completed pack.</x:v>
      </x:c>
    </x:row>
    <x:row r="9" ht="34" customHeight="1">
      <x:c r="A9" s="25" t="str">
        <x:v>DocumentPreviewModal.tsx</x:v>
      </x:c>
      <x:c r="B9" s="25" t="n">
        <x:v>90</x:v>
      </x:c>
      <x:c r="C9" s="25" t="str">
        <x:v>hardcoded.DocumentPreviewModal.90</x:v>
      </x:c>
      <x:c r="D9" s="25" t="str">
        <x:v>Visible JSX text</x:v>
      </x:c>
      <x:c r="E9" s="25" t="str">
        <x:v>Version 1.0 • Formal Employment Compliance Execution Record</x:v>
      </x:c>
      <x:c r="F9" s="27" t="str"/>
      <x:c r="G9" s="25" t="str">
        <x:f>IF(F9="","Missing",IF(TRIM(F9)=TRIM(E9),"Review: same as English","Translated"))</x:f>
        <x:v>Missing</x:v>
      </x:c>
      <x:c r="H9" s="27" t="str"/>
      <x:c r="I9" s="25" t="str">
        <x:f>IF(H9="","Missing",IF(TRIM(H9)=TRIM(E9),"Review: same as English","Translated"))</x:f>
        <x:v>Missing</x:v>
      </x:c>
      <x:c r="J9" s="27" t="str">
        <x:v>Move this text into UI_TRANSLATIONS when implementing the completed pack.</x:v>
      </x:c>
    </x:row>
    <x:row r="10" ht="34" customHeight="1">
      <x:c r="A10" s="25" t="str">
        <x:v>DocumentPreviewModal.tsx</x:v>
      </x:c>
      <x:c r="B10" s="25" t="n">
        <x:v>96</x:v>
      </x:c>
      <x:c r="C10" s="25" t="str">
        <x:v>hardcoded.DocumentPreviewModal.96</x:v>
      </x:c>
      <x:c r="D10" s="25" t="str">
        <x:v>Visible JSX text</x:v>
      </x:c>
      <x:c r="E10" s="25" t="str">
        <x:v>Document ID</x:v>
      </x:c>
      <x:c r="F10" s="27" t="str"/>
      <x:c r="G10" s="25" t="str">
        <x:f>IF(F10="","Missing",IF(TRIM(F10)=TRIM(E10),"Review: same as English","Translated"))</x:f>
        <x:v>Missing</x:v>
      </x:c>
      <x:c r="H10" s="27" t="str"/>
      <x:c r="I10" s="25" t="str">
        <x:f>IF(H10="","Missing",IF(TRIM(H10)=TRIM(E10),"Review: same as English","Translated"))</x:f>
        <x:v>Missing</x:v>
      </x:c>
      <x:c r="J10" s="27" t="str">
        <x:v>Move this text into UI_TRANSLATIONS when implementing the completed pack.</x:v>
      </x:c>
    </x:row>
    <x:row r="11" ht="34" customHeight="1">
      <x:c r="A11" s="25" t="str">
        <x:v>DocumentPreviewModal.tsx</x:v>
      </x:c>
      <x:c r="B11" s="25" t="n">
        <x:v>97</x:v>
      </x:c>
      <x:c r="C11" s="25" t="str">
        <x:v>hardcoded.DocumentPreviewModal.97</x:v>
      </x:c>
      <x:c r="D11" s="25" t="str">
        <x:v>Visible JSX text</x:v>
      </x:c>
      <x:c r="E11" s="25" t="str">
        <x:v>RPHB-2026-EXEC</x:v>
      </x:c>
      <x:c r="F11" s="27" t="str"/>
      <x:c r="G11" s="25" t="str">
        <x:f>IF(F11="","Missing",IF(TRIM(F11)=TRIM(E11),"Review: same as English","Translated"))</x:f>
        <x:v>Missing</x:v>
      </x:c>
      <x:c r="H11" s="27" t="str"/>
      <x:c r="I11" s="25" t="str">
        <x:f>IF(H11="","Missing",IF(TRIM(H11)=TRIM(E11),"Review: same as English","Translated"))</x:f>
        <x:v>Missing</x:v>
      </x:c>
      <x:c r="J11" s="27" t="str">
        <x:v>Move this text into UI_TRANSLATIONS when implementing the completed pack.</x:v>
      </x:c>
    </x:row>
    <x:row r="12" ht="34" customHeight="1">
      <x:c r="A12" s="25" t="str">
        <x:v>DocumentPreviewModal.tsx</x:v>
      </x:c>
      <x:c r="B12" s="25" t="n">
        <x:v>105</x:v>
      </x:c>
      <x:c r="C12" s="25" t="str">
        <x:v>hardcoded.DocumentPreviewModal.105</x:v>
      </x:c>
      <x:c r="D12" s="25" t="str">
        <x:v>Visible JSX text</x:v>
      </x:c>
      <x:c r="E12" s="25" t="str">
        <x:v>Employee Particulars &amp; Credentials</x:v>
      </x:c>
      <x:c r="F12" s="27" t="str"/>
      <x:c r="G12" s="25" t="str">
        <x:f>IF(F12="","Missing",IF(TRIM(F12)=TRIM(E12),"Review: same as English","Translated"))</x:f>
        <x:v>Missing</x:v>
      </x:c>
      <x:c r="H12" s="27" t="str"/>
      <x:c r="I12" s="25" t="str">
        <x:f>IF(H12="","Missing",IF(TRIM(H12)=TRIM(E12),"Review: same as English","Translated"))</x:f>
        <x:v>Missing</x:v>
      </x:c>
      <x:c r="J12" s="27" t="str">
        <x:v>Move this text into UI_TRANSLATIONS when implementing the completed pack.</x:v>
      </x:c>
    </x:row>
    <x:row r="13" ht="34" customHeight="1">
      <x:c r="A13" s="25" t="str">
        <x:v>DocumentPreviewModal.tsx</x:v>
      </x:c>
      <x:c r="B13" s="25" t="n">
        <x:v>114</x:v>
      </x:c>
      <x:c r="C13" s="25" t="str">
        <x:v>hardcoded.DocumentPreviewModal.114</x:v>
      </x:c>
      <x:c r="D13" s="25" t="str">
        <x:v>Visible JSX text</x:v>
      </x:c>
      <x:c r="E13" s="25" t="str">
        <x:v>Designation / Position</x:v>
      </x:c>
      <x:c r="F13" s="27" t="str"/>
      <x:c r="G13" s="25" t="str">
        <x:f>IF(F13="","Missing",IF(TRIM(F13)=TRIM(E13),"Review: same as English","Translated"))</x:f>
        <x:v>Missing</x:v>
      </x:c>
      <x:c r="H13" s="27" t="str"/>
      <x:c r="I13" s="25" t="str">
        <x:f>IF(H13="","Missing",IF(TRIM(H13)=TRIM(E13),"Review: same as English","Translated"))</x:f>
        <x:v>Missing</x:v>
      </x:c>
      <x:c r="J13" s="27" t="str">
        <x:v>Move this text into UI_TRANSLATIONS when implementing the completed pack.</x:v>
      </x:c>
    </x:row>
    <x:row r="14" ht="34" customHeight="1">
      <x:c r="A14" s="25" t="str">
        <x:v>DocumentPreviewModal.tsx</x:v>
      </x:c>
      <x:c r="B14" s="25" t="n">
        <x:v>122</x:v>
      </x:c>
      <x:c r="C14" s="25" t="str">
        <x:v>hardcoded.DocumentPreviewModal.122</x:v>
      </x:c>
      <x:c r="D14" s="25" t="str">
        <x:v>Visible JSX text</x:v>
      </x:c>
      <x:c r="E14" s="25" t="str">
        <x:v>Execution Date</x:v>
      </x:c>
      <x:c r="F14" s="27" t="str"/>
      <x:c r="G14" s="25" t="str">
        <x:f>IF(F14="","Missing",IF(TRIM(F14)=TRIM(E14),"Review: same as English","Translated"))</x:f>
        <x:v>Missing</x:v>
      </x:c>
      <x:c r="H14" s="27" t="str"/>
      <x:c r="I14" s="25" t="str">
        <x:f>IF(H14="","Missing",IF(TRIM(H14)=TRIM(E14),"Review: same as English","Translated"))</x:f>
        <x:v>Missing</x:v>
      </x:c>
      <x:c r="J14" s="27" t="str">
        <x:v>Move this text into UI_TRANSLATIONS when implementing the completed pack.</x:v>
      </x:c>
    </x:row>
    <x:row r="15" ht="34" customHeight="1">
      <x:c r="A15" s="25" t="str">
        <x:v>DocumentPreviewModal.tsx</x:v>
      </x:c>
      <x:c r="B15" s="25" t="n">
        <x:v>132</x:v>
      </x:c>
      <x:c r="C15" s="25" t="str">
        <x:v>hardcoded.DocumentPreviewModal.132</x:v>
      </x:c>
      <x:c r="D15" s="25" t="str">
        <x:v>Visible JSX text</x:v>
      </x:c>
      <x:c r="E15" s="25" t="str">
        <x:v>Knowledge Assessment &amp; Quiz Verification Record</x:v>
      </x:c>
      <x:c r="F15" s="27" t="str"/>
      <x:c r="G15" s="25" t="str">
        <x:f>IF(F15="","Missing",IF(TRIM(F15)=TRIM(E15),"Review: same as English","Translated"))</x:f>
        <x:v>Missing</x:v>
      </x:c>
      <x:c r="H15" s="27" t="str"/>
      <x:c r="I15" s="25" t="str">
        <x:f>IF(H15="","Missing",IF(TRIM(H15)=TRIM(E15),"Review: same as English","Translated"))</x:f>
        <x:v>Missing</x:v>
      </x:c>
      <x:c r="J15" s="27" t="str">
        <x:v>Move this text into UI_TRANSLATIONS when implementing the completed pack.</x:v>
      </x:c>
    </x:row>
    <x:row r="16" ht="48" customHeight="1">
      <x:c r="A16" s="25" t="str">
        <x:v>DocumentPreviewModal.tsx</x:v>
      </x:c>
      <x:c r="B16" s="25" t="n">
        <x:v>143</x:v>
      </x:c>
      <x:c r="C16" s="25" t="str">
        <x:v>hardcoded.DocumentPreviewModal.143</x:v>
      </x:c>
      <x:c r="D16" s="25" t="str">
        <x:v>Visible JSX text</x:v>
      </x:c>
      <x:c r="E16" s="25" t="str">
        <x:v>Employee has successfully demonstrated full understanding of company code of conduct, anti-bribery policies, and operational protocols.</x:v>
      </x:c>
      <x:c r="F16" s="27" t="str"/>
      <x:c r="G16" s="25" t="str">
        <x:f>IF(F16="","Missing",IF(TRIM(F16)=TRIM(E16),"Review: same as English","Translated"))</x:f>
        <x:v>Missing</x:v>
      </x:c>
      <x:c r="H16" s="27" t="str"/>
      <x:c r="I16" s="25" t="str">
        <x:f>IF(H16="","Missing",IF(TRIM(H16)=TRIM(E16),"Review: same as English","Translated"))</x:f>
        <x:v>Missing</x:v>
      </x:c>
      <x:c r="J16" s="27" t="str">
        <x:v>Move this text into UI_TRANSLATIONS when implementing the completed pack.</x:v>
      </x:c>
    </x:row>
    <x:row r="17" ht="34" customHeight="1">
      <x:c r="A17" s="25" t="str">
        <x:v>DocumentPreviewModal.tsx</x:v>
      </x:c>
      <x:c r="B17" s="25" t="n">
        <x:v>151</x:v>
      </x:c>
      <x:c r="C17" s="25" t="str">
        <x:v>hardcoded.DocumentPreviewModal.151</x:v>
      </x:c>
      <x:c r="D17" s="25" t="str">
        <x:v>Visible JSX text</x:v>
      </x:c>
      <x:c r="E17" s="25" t="str">
        <x:v>Employee Affirmation &amp; Legal Covenants</x:v>
      </x:c>
      <x:c r="F17" s="27" t="str"/>
      <x:c r="G17" s="25" t="str">
        <x:f>IF(F17="","Missing",IF(TRIM(F17)=TRIM(E17),"Review: same as English","Translated"))</x:f>
        <x:v>Missing</x:v>
      </x:c>
      <x:c r="H17" s="27" t="str"/>
      <x:c r="I17" s="25" t="str">
        <x:f>IF(H17="","Missing",IF(TRIM(H17)=TRIM(E17),"Review: same as English","Translated"))</x:f>
        <x:v>Missing</x:v>
      </x:c>
      <x:c r="J17" s="27" t="str">
        <x:v>Move this text into UI_TRANSLATIONS when implementing the completed pack.</x:v>
      </x:c>
    </x:row>
    <x:row r="18" ht="34" customHeight="1">
      <x:c r="A18" s="25" t="str">
        <x:v>DocumentPreviewModal.tsx</x:v>
      </x:c>
      <x:c r="B18" s="25" t="n">
        <x:v>167</x:v>
      </x:c>
      <x:c r="C18" s="25" t="str">
        <x:v>hardcoded.DocumentPreviewModal.167</x:v>
      </x:c>
      <x:c r="D18" s="25" t="str">
        <x:v>Visible JSX text</x:v>
      </x:c>
      <x:c r="E18" s="25" t="str">
        <x:v>Section-by-Section Initial Verification Log (Parts 1 - 15)</x:v>
      </x:c>
      <x:c r="F18" s="27" t="str"/>
      <x:c r="G18" s="25" t="str">
        <x:f>IF(F18="","Missing",IF(TRIM(F18)=TRIM(E18),"Review: same as English","Translated"))</x:f>
        <x:v>Missing</x:v>
      </x:c>
      <x:c r="H18" s="27" t="str"/>
      <x:c r="I18" s="25" t="str">
        <x:f>IF(H18="","Missing",IF(TRIM(H18)=TRIM(E18),"Review: same as English","Translated"))</x:f>
        <x:v>Missing</x:v>
      </x:c>
      <x:c r="J18" s="27" t="str">
        <x:v>Move this text into UI_TRANSLATIONS when implementing the completed pack.</x:v>
      </x:c>
    </x:row>
    <x:row r="19" ht="34" customHeight="1">
      <x:c r="A19" s="25" t="str">
        <x:v>DocumentPreviewModal.tsx</x:v>
      </x:c>
      <x:c r="B19" s="25" t="n">
        <x:v>210</x:v>
      </x:c>
      <x:c r="C19" s="25" t="str">
        <x:v>hardcoded.DocumentPreviewModal.210</x:v>
      </x:c>
      <x:c r="D19" s="25" t="str">
        <x:v>Visible JSX text</x:v>
      </x:c>
      <x:c r="E19" s="25" t="str">
        <x:v>Final Digital Execution &amp; Handwritten Signature</x:v>
      </x:c>
      <x:c r="F19" s="27" t="str"/>
      <x:c r="G19" s="25" t="str">
        <x:f>IF(F19="","Missing",IF(TRIM(F19)=TRIM(E19),"Review: same as English","Translated"))</x:f>
        <x:v>Missing</x:v>
      </x:c>
      <x:c r="H19" s="27" t="str"/>
      <x:c r="I19" s="25" t="str">
        <x:f>IF(H19="","Missing",IF(TRIM(H19)=TRIM(E19),"Review: same as English","Translated"))</x:f>
        <x:v>Missing</x:v>
      </x:c>
      <x:c r="J19" s="27" t="str">
        <x:v>Move this text into UI_TRANSLATIONS when implementing the completed pack.</x:v>
      </x:c>
    </x:row>
    <x:row r="20" ht="34" customHeight="1">
      <x:c r="A20" s="25" t="str">
        <x:v>DocumentPreviewModal.tsx</x:v>
      </x:c>
      <x:c r="B20" s="25" t="n">
        <x:v>216</x:v>
      </x:c>
      <x:c r="C20" s="25" t="str">
        <x:v>hardcoded.DocumentPreviewModal.216</x:v>
      </x:c>
      <x:c r="D20" s="25" t="str">
        <x:v>Visible JSX text</x:v>
      </x:c>
      <x:c r="E20" s="25" t="str">
        <x:v>Employee Digital Signature</x:v>
      </x:c>
      <x:c r="F20" s="27" t="str"/>
      <x:c r="G20" s="25" t="str">
        <x:f>IF(F20="","Missing",IF(TRIM(F20)=TRIM(E20),"Review: same as English","Translated"))</x:f>
        <x:v>Missing</x:v>
      </x:c>
      <x:c r="H20" s="27" t="str"/>
      <x:c r="I20" s="25" t="str">
        <x:f>IF(H20="","Missing",IF(TRIM(H20)=TRIM(E20),"Review: same as English","Translated"))</x:f>
        <x:v>Missing</x:v>
      </x:c>
      <x:c r="J20" s="27" t="str">
        <x:v>Move this text into UI_TRANSLATIONS when implementing the completed pack.</x:v>
      </x:c>
    </x:row>
    <x:row r="21" ht="34" customHeight="1">
      <x:c r="A21" s="25" t="str">
        <x:v>DocumentPreviewModal.tsx</x:v>
      </x:c>
      <x:c r="B21" s="25" t="n">
        <x:v>243</x:v>
      </x:c>
      <x:c r="C21" s="25" t="str">
        <x:v>hardcoded.DocumentPreviewModal.243</x:v>
      </x:c>
      <x:c r="D21" s="25" t="str">
        <x:v>Visible JSX text</x:v>
      </x:c>
      <x:c r="E21" s="25" t="str">
        <x:v>RedPoint HR Department</x:v>
      </x:c>
      <x:c r="F21" s="27" t="str"/>
      <x:c r="G21" s="25" t="str">
        <x:f>IF(F21="","Missing",IF(TRIM(F21)=TRIM(E21),"Review: same as English","Translated"))</x:f>
        <x:v>Missing</x:v>
      </x:c>
      <x:c r="H21" s="27" t="str"/>
      <x:c r="I21" s="25" t="str">
        <x:f>IF(H21="","Missing",IF(TRIM(H21)=TRIM(E21),"Review: same as English","Translated"))</x:f>
        <x:v>Missing</x:v>
      </x:c>
      <x:c r="J21" s="27" t="str">
        <x:v>Move this text into UI_TRANSLATIONS when implementing the completed pack.</x:v>
      </x:c>
    </x:row>
    <x:row r="22" ht="34" customHeight="1">
      <x:c r="A22" s="25" t="str">
        <x:v>DocumentPreviewModal.tsx</x:v>
      </x:c>
      <x:c r="B22" s="25" t="n">
        <x:v>244</x:v>
      </x:c>
      <x:c r="C22" s="25" t="str">
        <x:v>hardcoded.DocumentPreviewModal.244</x:v>
      </x:c>
      <x:c r="D22" s="25" t="str">
        <x:v>Visible JSX text</x:v>
      </x:c>
      <x:c r="E22" s="25" t="str">
        <x:v>Electronically Verified &amp; Filed</x:v>
      </x:c>
      <x:c r="F22" s="27" t="str"/>
      <x:c r="G22" s="25" t="str">
        <x:f>IF(F22="","Missing",IF(TRIM(F22)=TRIM(E22),"Review: same as English","Translated"))</x:f>
        <x:v>Missing</x:v>
      </x:c>
      <x:c r="H22" s="27" t="str"/>
      <x:c r="I22" s="25" t="str">
        <x:f>IF(H22="","Missing",IF(TRIM(H22)=TRIM(E22),"Review: same as English","Translated"))</x:f>
        <x:v>Missing</x:v>
      </x:c>
      <x:c r="J22" s="27" t="str">
        <x:v>Move this text into UI_TRANSLATIONS when implementing the completed pack.</x:v>
      </x:c>
    </x:row>
    <x:row r="23" ht="34" customHeight="1">
      <x:c r="A23" s="25" t="str">
        <x:v>DocumentPreviewModal.tsx</x:v>
      </x:c>
      <x:c r="B23" s="25" t="n">
        <x:v>247</x:v>
      </x:c>
      <x:c r="C23" s="25" t="str">
        <x:v>hardcoded.DocumentPreviewModal.247</x:v>
      </x:c>
      <x:c r="D23" s="25" t="str">
        <x:v>Visible JSX text</x:v>
      </x:c>
      <x:c r="E23" s="25" t="str">
        <x:v>Status: COMPLIANT &amp; RECORDED</x:v>
      </x:c>
      <x:c r="F23" s="27" t="str"/>
      <x:c r="G23" s="25" t="str">
        <x:f>IF(F23="","Missing",IF(TRIM(F23)=TRIM(E23),"Review: same as English","Translated"))</x:f>
        <x:v>Missing</x:v>
      </x:c>
      <x:c r="H23" s="27" t="str"/>
      <x:c r="I23" s="25" t="str">
        <x:f>IF(H23="","Missing",IF(TRIM(H23)=TRIM(E23),"Review: same as English","Translated"))</x:f>
        <x:v>Missing</x:v>
      </x:c>
      <x:c r="J23" s="27" t="str">
        <x:v>Move this text into UI_TRANSLATIONS when implementing the completed pack.</x:v>
      </x:c>
    </x:row>
    <x:row r="24" ht="34" customHeight="1">
      <x:c r="A24" s="25" t="str">
        <x:v>DocumentPreviewModal.tsx</x:v>
      </x:c>
      <x:c r="B24" s="25" t="n">
        <x:v>272</x:v>
      </x:c>
      <x:c r="C24" s="25" t="str">
        <x:v>hardcoded.DocumentPreviewModal.272</x:v>
      </x:c>
      <x:c r="D24" s="25" t="str">
        <x:v>Visible JSX text</x:v>
      </x:c>
      <x:c r="E24" s="25" t="str">
        <x:v>Close Preview</x:v>
      </x:c>
      <x:c r="F24" s="27" t="str"/>
      <x:c r="G24" s="25" t="str">
        <x:f>IF(F24="","Missing",IF(TRIM(F24)=TRIM(E24),"Review: same as English","Translated"))</x:f>
        <x:v>Missing</x:v>
      </x:c>
      <x:c r="H24" s="27" t="str"/>
      <x:c r="I24" s="25" t="str">
        <x:f>IF(H24="","Missing",IF(TRIM(H24)=TRIM(E24),"Review: same as English","Translated"))</x:f>
        <x:v>Missing</x:v>
      </x:c>
      <x:c r="J24" s="27" t="str">
        <x:v>Move this text into UI_TRANSLATIONS when implementing the completed pack.</x:v>
      </x:c>
    </x:row>
    <x:row r="25" ht="34" customHeight="1">
      <x:c r="A25" s="25" t="str">
        <x:v>DocumentPreviewModal.tsx</x:v>
      </x:c>
      <x:c r="B25" s="25" t="n">
        <x:v>282</x:v>
      </x:c>
      <x:c r="C25" s="25" t="str">
        <x:v>hardcoded.DocumentPreviewModal.282</x:v>
      </x:c>
      <x:c r="D25" s="25" t="str">
        <x:v>Visible JSX text</x:v>
      </x:c>
      <x:c r="E25" s="25" t="str">
        <x:v>Download Full PDF</x:v>
      </x:c>
      <x:c r="F25" s="27" t="str"/>
      <x:c r="G25" s="25" t="str">
        <x:f>IF(F25="","Missing",IF(TRIM(F25)=TRIM(E25),"Review: same as English","Translated"))</x:f>
        <x:v>Missing</x:v>
      </x:c>
      <x:c r="H25" s="27" t="str"/>
      <x:c r="I25" s="25" t="str">
        <x:f>IF(H25="","Missing",IF(TRIM(H25)=TRIM(E25),"Review: same as English","Translated"))</x:f>
        <x:v>Missing</x:v>
      </x:c>
      <x:c r="J25" s="27" t="str">
        <x:v>Move this text into UI_TRANSLATIONS when implementing the completed pack.</x:v>
      </x:c>
    </x:row>
    <x:row r="26" ht="34" customHeight="1">
      <x:c r="A26" s="25" t="str">
        <x:v>HandbookView.tsx</x:v>
      </x:c>
      <x:c r="B26" s="25" t="n">
        <x:v>45</x:v>
      </x:c>
      <x:c r="C26" s="25" t="str">
        <x:v>hardcoded.HandbookView.45</x:v>
      </x:c>
      <x:c r="D26" s="25" t="str">
        <x:v>Visible JSX text</x:v>
      </x:c>
      <x:c r="E26" s="25" t="str">
        <x:v>(1); // Part 1 - Introduction const [contentType, setContentType] = useState</x:v>
      </x:c>
      <x:c r="F26" s="27" t="str"/>
      <x:c r="G26" s="25" t="str">
        <x:f>IF(F26="","Missing",IF(TRIM(F26)=TRIM(E26),"Review: same as English","Translated"))</x:f>
        <x:v>Missing</x:v>
      </x:c>
      <x:c r="H26" s="27" t="str"/>
      <x:c r="I26" s="25" t="str">
        <x:f>IF(H26="","Missing",IF(TRIM(H26)=TRIM(E26),"Review: same as English","Translated"))</x:f>
        <x:v>Missing</x:v>
      </x:c>
      <x:c r="J26" s="27" t="str">
        <x:v>Move this text into UI_TRANSLATIONS when implementing the completed pack.</x:v>
      </x:c>
    </x:row>
    <x:row r="27" ht="34" customHeight="1">
      <x:c r="A27" s="25" t="str">
        <x:v>HandbookView.tsx</x:v>
      </x:c>
      <x:c r="B27" s="25" t="n">
        <x:v>46</x:v>
      </x:c>
      <x:c r="C27" s="25" t="str">
        <x:v>hardcoded.HandbookView.46</x:v>
      </x:c>
      <x:c r="D27" s="25" t="str">
        <x:v>Visible JSX text</x:v>
      </x:c>
      <x:c r="E27" s="25" t="str">
        <x:v>('full'); const [hasSigned, setHasSigned] = useState</x:v>
      </x:c>
      <x:c r="F27" s="27" t="str"/>
      <x:c r="G27" s="25" t="str">
        <x:f>IF(F27="","Missing",IF(TRIM(F27)=TRIM(E27),"Review: same as English","Translated"))</x:f>
        <x:v>Missing</x:v>
      </x:c>
      <x:c r="H27" s="27" t="str"/>
      <x:c r="I27" s="25" t="str">
        <x:f>IF(H27="","Missing",IF(TRIM(H27)=TRIM(E27),"Review: same as English","Translated"))</x:f>
        <x:v>Missing</x:v>
      </x:c>
      <x:c r="J27" s="27" t="str">
        <x:v>Move this text into UI_TRANSLATIONS when implementing the completed pack.</x:v>
      </x:c>
    </x:row>
    <x:row r="28" ht="34" customHeight="1">
      <x:c r="A28" s="25" t="str">
        <x:v>HandbookView.tsx</x:v>
      </x:c>
      <x:c r="B28" s="25" t="n">
        <x:v>47</x:v>
      </x:c>
      <x:c r="C28" s="25" t="str">
        <x:v>hardcoded.HandbookView.47</x:v>
      </x:c>
      <x:c r="D28" s="25" t="str">
        <x:v>Visible JSX text</x:v>
      </x:c>
      <x:c r="E28" s="25" t="str">
        <x:v>(false); const [isPlayingVideo, setIsPlayingVideo] = useState</x:v>
      </x:c>
      <x:c r="F28" s="27" t="str"/>
      <x:c r="G28" s="25" t="str">
        <x:f>IF(F28="","Missing",IF(TRIM(F28)=TRIM(E28),"Review: same as English","Translated"))</x:f>
        <x:v>Missing</x:v>
      </x:c>
      <x:c r="H28" s="27" t="str"/>
      <x:c r="I28" s="25" t="str">
        <x:f>IF(H28="","Missing",IF(TRIM(H28)=TRIM(E28),"Review: same as English","Translated"))</x:f>
        <x:v>Missing</x:v>
      </x:c>
      <x:c r="J28" s="27" t="str">
        <x:v>Move this text into UI_TRANSLATIONS when implementing the completed pack.</x:v>
      </x:c>
    </x:row>
    <x:row r="29" ht="34" customHeight="1">
      <x:c r="A29" s="25" t="str">
        <x:v>HandbookView.tsx</x:v>
      </x:c>
      <x:c r="B29" s="25" t="n">
        <x:v>48</x:v>
      </x:c>
      <x:c r="C29" s="25" t="str">
        <x:v>hardcoded.HandbookView.48</x:v>
      </x:c>
      <x:c r="D29" s="25" t="str">
        <x:v>Visible JSX text</x:v>
      </x:c>
      <x:c r="E29" s="25" t="str">
        <x:v>(false); const [finalSignatureDataUrl, setFinalSignatureDataUrl] = useState</x:v>
      </x:c>
      <x:c r="F29" s="27" t="str"/>
      <x:c r="G29" s="25" t="str">
        <x:f>IF(F29="","Missing",IF(TRIM(F29)=TRIM(E29),"Review: same as English","Translated"))</x:f>
        <x:v>Missing</x:v>
      </x:c>
      <x:c r="H29" s="27" t="str"/>
      <x:c r="I29" s="25" t="str">
        <x:f>IF(H29="","Missing",IF(TRIM(H29)=TRIM(E29),"Review: same as English","Translated"))</x:f>
        <x:v>Missing</x:v>
      </x:c>
      <x:c r="J29" s="27" t="str">
        <x:v>Move this text into UI_TRANSLATIONS when implementing the completed pack.</x:v>
      </x:c>
    </x:row>
    <x:row r="30" ht="34" customHeight="1">
      <x:c r="A30" s="25" t="str">
        <x:v>HandbookView.tsx</x:v>
      </x:c>
      <x:c r="B30" s="25" t="n">
        <x:v>50</x:v>
      </x:c>
      <x:c r="C30" s="25" t="str">
        <x:v>hardcoded.HandbookView.50</x:v>
      </x:c>
      <x:c r="D30" s="25" t="str">
        <x:v>Visible JSX text</x:v>
      </x:c>
      <x:c r="E30" s="25" t="str">
        <x:v>(false); const [searchQuery, setSearchQuery] = useState</x:v>
      </x:c>
      <x:c r="F30" s="27" t="str"/>
      <x:c r="G30" s="25" t="str">
        <x:f>IF(F30="","Missing",IF(TRIM(F30)=TRIM(E30),"Review: same as English","Translated"))</x:f>
        <x:v>Missing</x:v>
      </x:c>
      <x:c r="H30" s="27" t="str"/>
      <x:c r="I30" s="25" t="str">
        <x:f>IF(H30="","Missing",IF(TRIM(H30)=TRIM(E30),"Review: same as English","Translated"))</x:f>
        <x:v>Missing</x:v>
      </x:c>
      <x:c r="J30" s="27" t="str">
        <x:v>Move this text into UI_TRANSLATIONS when implementing the completed pack.</x:v>
      </x:c>
    </x:row>
    <x:row r="31" ht="34" customHeight="1">
      <x:c r="A31" s="25" t="str">
        <x:v>HandbookView.tsx</x:v>
      </x:c>
      <x:c r="B31" s="25" t="n">
        <x:v>51</x:v>
      </x:c>
      <x:c r="C31" s="25" t="str">
        <x:v>hardcoded.HandbookView.51</x:v>
      </x:c>
      <x:c r="D31" s="25" t="str">
        <x:v>Visible JSX text</x:v>
      </x:c>
      <x:c r="E31" s="25" t="str">
        <x:v>(''); // Employee Particulars State const [empName, setEmpName] = useState</x:v>
      </x:c>
      <x:c r="F31" s="27" t="str"/>
      <x:c r="G31" s="25" t="str">
        <x:f>IF(F31="","Missing",IF(TRIM(F31)=TRIM(E31),"Review: same as English","Translated"))</x:f>
        <x:v>Missing</x:v>
      </x:c>
      <x:c r="H31" s="27" t="str"/>
      <x:c r="I31" s="25" t="str">
        <x:f>IF(H31="","Missing",IF(TRIM(H31)=TRIM(E31),"Review: same as English","Translated"))</x:f>
        <x:v>Missing</x:v>
      </x:c>
      <x:c r="J31" s="27" t="str">
        <x:v>Move this text into UI_TRANSLATIONS when implementing the completed pack.</x:v>
      </x:c>
    </x:row>
    <x:row r="32" ht="34" customHeight="1">
      <x:c r="A32" s="25" t="str">
        <x:v>HandbookView.tsx</x:v>
      </x:c>
      <x:c r="B32" s="25" t="n">
        <x:v>54</x:v>
      </x:c>
      <x:c r="C32" s="25" t="str">
        <x:v>hardcoded.HandbookView.54</x:v>
      </x:c>
      <x:c r="D32" s="25" t="str">
        <x:v>Visible JSX text</x:v>
      </x:c>
      <x:c r="E32" s="25" t="str">
        <x:v>('Sarah Lin'); const [empDept, setEmpDept] = useState</x:v>
      </x:c>
      <x:c r="F32" s="27" t="str"/>
      <x:c r="G32" s="25" t="str">
        <x:f>IF(F32="","Missing",IF(TRIM(F32)=TRIM(E32),"Review: same as English","Translated"))</x:f>
        <x:v>Missing</x:v>
      </x:c>
      <x:c r="H32" s="27" t="str"/>
      <x:c r="I32" s="25" t="str">
        <x:f>IF(H32="","Missing",IF(TRIM(H32)=TRIM(E32),"Review: same as English","Translated"))</x:f>
        <x:v>Missing</x:v>
      </x:c>
      <x:c r="J32" s="27" t="str">
        <x:v>Move this text into UI_TRANSLATIONS when implementing the completed pack.</x:v>
      </x:c>
    </x:row>
    <x:row r="33" ht="34" customHeight="1">
      <x:c r="A33" s="25" t="str">
        <x:v>HandbookView.tsx</x:v>
      </x:c>
      <x:c r="B33" s="25" t="n">
        <x:v>55</x:v>
      </x:c>
      <x:c r="C33" s="25" t="str">
        <x:v>hardcoded.HandbookView.55</x:v>
      </x:c>
      <x:c r="D33" s="25" t="str">
        <x:v>Visible JSX text</x:v>
      </x:c>
      <x:c r="E33" s="25" t="str">
        <x:v>('Marketing &amp; Creative Strategy'); const [empPosition, setEmpPosition] = useState</x:v>
      </x:c>
      <x:c r="F33" s="27" t="str"/>
      <x:c r="G33" s="25" t="str">
        <x:f>IF(F33="","Missing",IF(TRIM(F33)=TRIM(E33),"Review: same as English","Translated"))</x:f>
        <x:v>Missing</x:v>
      </x:c>
      <x:c r="H33" s="27" t="str"/>
      <x:c r="I33" s="25" t="str">
        <x:f>IF(H33="","Missing",IF(TRIM(H33)=TRIM(E33),"Review: same as English","Translated"))</x:f>
        <x:v>Missing</x:v>
      </x:c>
      <x:c r="J33" s="27" t="str">
        <x:v>Move this text into UI_TRANSLATIONS when implementing the completed pack.</x:v>
      </x:c>
    </x:row>
    <x:row r="34" ht="34" customHeight="1">
      <x:c r="A34" s="25" t="str">
        <x:v>HandbookView.tsx</x:v>
      </x:c>
      <x:c r="B34" s="25" t="n">
        <x:v>56</x:v>
      </x:c>
      <x:c r="C34" s="25" t="str">
        <x:v>hardcoded.HandbookView.56</x:v>
      </x:c>
      <x:c r="D34" s="25" t="str">
        <x:v>Visible JSX text</x:v>
      </x:c>
      <x:c r="E34" s="25" t="str">
        <x:v>('Digital Content Specialist'); const [empDate, setEmpDate] = useState</x:v>
      </x:c>
      <x:c r="F34" s="27" t="str"/>
      <x:c r="G34" s="25" t="str">
        <x:f>IF(F34="","Missing",IF(TRIM(F34)=TRIM(E34),"Review: same as English","Translated"))</x:f>
        <x:v>Missing</x:v>
      </x:c>
      <x:c r="H34" s="27" t="str"/>
      <x:c r="I34" s="25" t="str">
        <x:f>IF(H34="","Missing",IF(TRIM(H34)=TRIM(E34),"Review: same as English","Translated"))</x:f>
        <x:v>Missing</x:v>
      </x:c>
      <x:c r="J34" s="27" t="str">
        <x:v>Move this text into UI_TRANSLATIONS when implementing the completed pack.</x:v>
      </x:c>
    </x:row>
    <x:row r="35" ht="62" customHeight="1">
      <x:c r="A35" s="25" t="str">
        <x:v>HandbookView.tsx</x:v>
      </x:c>
      <x:c r="B35" s="25" t="n">
        <x:v>72</x:v>
      </x:c>
      <x:c r="C35" s="25" t="str">
        <x:v>hardcoded.HandbookView.72</x:v>
      </x:c>
      <x:c r="D35" s="25" t="str">
        <x:v>Visible JSX text</x:v>
      </x:c>
      <x:c r="E35" s="25" t="str">
        <x:v>m.status === 'completed' || !!partInitials[m.id] ).length; const overallPercent = Math.round((completedCount / modules.length) * 100); // 5-point Covenant Checklist const [covenants, setCovenants] = useState</x:v>
      </x:c>
      <x:c r="F35" s="27" t="str"/>
      <x:c r="G35" s="25" t="str">
        <x:f>IF(F35="","Missing",IF(TRIM(F35)=TRIM(E35),"Review: same as English","Translated"))</x:f>
        <x:v>Missing</x:v>
      </x:c>
      <x:c r="H35" s="27" t="str"/>
      <x:c r="I35" s="25" t="str">
        <x:f>IF(H35="","Missing",IF(TRIM(H35)=TRIM(E35),"Review: same as English","Translated"))</x:f>
        <x:v>Missing</x:v>
      </x:c>
      <x:c r="J35" s="27" t="str">
        <x:v>Move this text into UI_TRANSLATIONS when implementing the completed pack.</x:v>
      </x:c>
    </x:row>
    <x:row r="36" ht="34" customHeight="1">
      <x:c r="A36" s="25" t="str">
        <x:v>HandbookView.tsx</x:v>
      </x:c>
      <x:c r="B36" s="25" t="n">
        <x:v>77</x:v>
      </x:c>
      <x:c r="C36" s="25" t="str">
        <x:v>hardcoded.HandbookView.77</x:v>
      </x:c>
      <x:c r="D36" s="25" t="str">
        <x:v>Visible JSX text</x:v>
      </x:c>
      <x:c r="E36" s="25" t="str">
        <x:v>([true, true, true, true, true]); const [isFinalSigned, setIsFinalSigned] = useState</x:v>
      </x:c>
      <x:c r="F36" s="27" t="str"/>
      <x:c r="G36" s="25" t="str">
        <x:f>IF(F36="","Missing",IF(TRIM(F36)=TRIM(E36),"Review: same as English","Translated"))</x:f>
        <x:v>Missing</x:v>
      </x:c>
      <x:c r="H36" s="27" t="str"/>
      <x:c r="I36" s="25" t="str">
        <x:f>IF(H36="","Missing",IF(TRIM(H36)=TRIM(E36),"Review: same as English","Translated"))</x:f>
        <x:v>Missing</x:v>
      </x:c>
      <x:c r="J36" s="27" t="str">
        <x:v>Move this text into UI_TRANSLATIONS when implementing the completed pack.</x:v>
      </x:c>
    </x:row>
    <x:row r="37" ht="34" customHeight="1">
      <x:c r="A37" s="25" t="str">
        <x:v>HandbookView.tsx</x:v>
      </x:c>
      <x:c r="B37" s="25" t="n">
        <x:v>276</x:v>
      </x:c>
      <x:c r="C37" s="25" t="str">
        <x:v>hardcoded.HandbookView.276</x:v>
      </x:c>
      <x:c r="D37" s="25" t="str">
        <x:v>title attribute</x:v>
      </x:c>
      <x:c r="E37" s="25" t="str">
        <x:v>Clear search</x:v>
      </x:c>
      <x:c r="F37" s="27" t="str"/>
      <x:c r="G37" s="25" t="str">
        <x:f>IF(F37="","Missing",IF(TRIM(F37)=TRIM(E37),"Review: same as English","Translated"))</x:f>
        <x:v>Missing</x:v>
      </x:c>
      <x:c r="H37" s="27" t="str"/>
      <x:c r="I37" s="25" t="str">
        <x:f>IF(H37="","Missing",IF(TRIM(H37)=TRIM(E37),"Review: same as English","Translated"))</x:f>
        <x:v>Missing</x:v>
      </x:c>
      <x:c r="J37" s="27" t="str">
        <x:v>Move this text into UI_TRANSLATIONS when implementing the completed pack.</x:v>
      </x:c>
    </x:row>
    <x:row r="38" ht="34" customHeight="1">
      <x:c r="A38" s="25" t="str">
        <x:v>HandbookView.tsx</x:v>
      </x:c>
      <x:c r="B38" s="25" t="n">
        <x:v>289</x:v>
      </x:c>
      <x:c r="C38" s="25" t="str">
        <x:v>hardcoded.HandbookView.289</x:v>
      </x:c>
      <x:c r="D38" s="25" t="str">
        <x:v>Visible JSX text</x:v>
      </x:c>
      <x:c r="E38" s="25" t="str">
        <x:v>Clear Filter</x:v>
      </x:c>
      <x:c r="F38" s="27" t="str"/>
      <x:c r="G38" s="25" t="str">
        <x:f>IF(F38="","Missing",IF(TRIM(F38)=TRIM(E38),"Review: same as English","Translated"))</x:f>
        <x:v>Missing</x:v>
      </x:c>
      <x:c r="H38" s="27" t="str"/>
      <x:c r="I38" s="25" t="str">
        <x:f>IF(H38="","Missing",IF(TRIM(H38)=TRIM(E38),"Review: same as English","Translated"))</x:f>
        <x:v>Missing</x:v>
      </x:c>
      <x:c r="J38" s="27" t="str">
        <x:v>Move this text into UI_TRANSLATIONS when implementing the completed pack.</x:v>
      </x:c>
    </x:row>
    <x:row r="39" ht="34" customHeight="1">
      <x:c r="A39" s="25" t="str">
        <x:v>HandbookView.tsx</x:v>
      </x:c>
      <x:c r="B39" s="25" t="n">
        <x:v>300</x:v>
      </x:c>
      <x:c r="C39" s="25" t="str">
        <x:v>hardcoded.HandbookView.300</x:v>
      </x:c>
      <x:c r="D39" s="25" t="str">
        <x:v>Visible JSX text</x:v>
      </x:c>
      <x:c r="E39" s="25" t="str">
        <x:v>No modules found</x:v>
      </x:c>
      <x:c r="F39" s="27" t="str"/>
      <x:c r="G39" s="25" t="str">
        <x:f>IF(F39="","Missing",IF(TRIM(F39)=TRIM(E39),"Review: same as English","Translated"))</x:f>
        <x:v>Missing</x:v>
      </x:c>
      <x:c r="H39" s="27" t="str"/>
      <x:c r="I39" s="25" t="str">
        <x:f>IF(H39="","Missing",IF(TRIM(H39)=TRIM(E39),"Review: same as English","Translated"))</x:f>
        <x:v>Missing</x:v>
      </x:c>
      <x:c r="J39" s="27" t="str">
        <x:v>Move this text into UI_TRANSLATIONS when implementing the completed pack.</x:v>
      </x:c>
    </x:row>
    <x:row r="40" ht="34" customHeight="1">
      <x:c r="A40" s="25" t="str">
        <x:v>HandbookView.tsx</x:v>
      </x:c>
      <x:c r="B40" s="25" t="n">
        <x:v>308</x:v>
      </x:c>
      <x:c r="C40" s="25" t="str">
        <x:v>hardcoded.HandbookView.308</x:v>
      </x:c>
      <x:c r="D40" s="25" t="str">
        <x:v>Visible JSX text</x:v>
      </x:c>
      <x:c r="E40" s="25" t="str">
        <x:v>Reset Search</x:v>
      </x:c>
      <x:c r="F40" s="27" t="str"/>
      <x:c r="G40" s="25" t="str">
        <x:f>IF(F40="","Missing",IF(TRIM(F40)=TRIM(E40),"Review: same as English","Translated"))</x:f>
        <x:v>Missing</x:v>
      </x:c>
      <x:c r="H40" s="27" t="str"/>
      <x:c r="I40" s="25" t="str">
        <x:f>IF(H40="","Missing",IF(TRIM(H40)=TRIM(E40),"Review: same as English","Translated"))</x:f>
        <x:v>Missing</x:v>
      </x:c>
      <x:c r="J40" s="27" t="str">
        <x:v>Move this text into UI_TRANSLATIONS when implementing the completed pack.</x:v>
      </x:c>
    </x:row>
    <x:row r="41" ht="34" customHeight="1">
      <x:c r="A41" s="25" t="str">
        <x:v>HandbookView.tsx</x:v>
      </x:c>
      <x:c r="B41" s="25" t="n">
        <x:v>325</x:v>
      </x:c>
      <x:c r="C41" s="25" t="str">
        <x:v>hardcoded.HandbookView.325</x:v>
      </x:c>
      <x:c r="D41" s="25" t="str">
        <x:v>Visible JSX text</x:v>
      </x:c>
      <x:c r="E41" s="25" t="str">
        <x:v>prev.id</x:v>
      </x:c>
      <x:c r="F41" s="27" t="str"/>
      <x:c r="G41" s="25" t="str">
        <x:f>IF(F41="","Missing",IF(TRIM(F41)=TRIM(E41),"Review: same as English","Translated"))</x:f>
        <x:v>Missing</x:v>
      </x:c>
      <x:c r="H41" s="27" t="str"/>
      <x:c r="I41" s="25" t="str">
        <x:f>IF(H41="","Missing",IF(TRIM(H41)=TRIM(E41),"Review: same as English","Translated"))</x:f>
        <x:v>Missing</x:v>
      </x:c>
      <x:c r="J41" s="27" t="str">
        <x:v>Move this text into UI_TRANSLATIONS when implementing the completed pack.</x:v>
      </x:c>
    </x:row>
    <x:row r="42" ht="34" customHeight="1">
      <x:c r="A42" s="25" t="str">
        <x:v>HandbookView.tsx</x:v>
      </x:c>
      <x:c r="B42" s="25" t="n">
        <x:v>346</x:v>
      </x:c>
      <x:c r="C42" s="25" t="str">
        <x:v>hardcoded.HandbookView.346</x:v>
      </x:c>
      <x:c r="D42" s="25" t="str">
        <x:v>Visible JSX text</x:v>
      </x:c>
      <x:c r="E42" s="25" t="str">
        <x:v>) : isLocked ? (</x:v>
      </x:c>
      <x:c r="F42" s="27" t="str"/>
      <x:c r="G42" s="25" t="str">
        <x:f>IF(F42="","Missing",IF(TRIM(F42)=TRIM(E42),"Review: same as English","Translated"))</x:f>
        <x:v>Missing</x:v>
      </x:c>
      <x:c r="H42" s="27" t="str"/>
      <x:c r="I42" s="25" t="str">
        <x:f>IF(H42="","Missing",IF(TRIM(H42)=TRIM(E42),"Review: same as English","Translated"))</x:f>
        <x:v>Missing</x:v>
      </x:c>
      <x:c r="J42" s="27" t="str">
        <x:v>Move this text into UI_TRANSLATIONS when implementing the completed pack.</x:v>
      </x:c>
    </x:row>
    <x:row r="43" ht="34" customHeight="1">
      <x:c r="A43" s="25" t="str">
        <x:v>HandbookView.tsx</x:v>
      </x:c>
      <x:c r="B43" s="25" t="n">
        <x:v>399</x:v>
      </x:c>
      <x:c r="C43" s="25" t="str">
        <x:v>hardcoded.HandbookView.399</x:v>
      </x:c>
      <x:c r="D43" s="25" t="str">
        <x:v>Visible JSX text</x:v>
      </x:c>
      <x:c r="E43" s="25" t="str">
        <x:v>Video Briefing Player</x:v>
      </x:c>
      <x:c r="F43" s="27" t="str"/>
      <x:c r="G43" s="25" t="str">
        <x:f>IF(F43="","Missing",IF(TRIM(F43)=TRIM(E43),"Review: same as English","Translated"))</x:f>
        <x:v>Missing</x:v>
      </x:c>
      <x:c r="H43" s="27" t="str"/>
      <x:c r="I43" s="25" t="str">
        <x:f>IF(H43="","Missing",IF(TRIM(H43)=TRIM(E43),"Review: same as English","Translated"))</x:f>
        <x:v>Missing</x:v>
      </x:c>
      <x:c r="J43" s="27" t="str">
        <x:v>Move this text into UI_TRANSLATIONS when implementing the completed pack.</x:v>
      </x:c>
    </x:row>
    <x:row r="44" ht="34" customHeight="1">
      <x:c r="A44" s="25" t="str">
        <x:v>HandbookView.tsx</x:v>
      </x:c>
      <x:c r="B44" s="25" t="n">
        <x:v>403</x:v>
      </x:c>
      <x:c r="C44" s="25" t="str">
        <x:v>hardcoded.HandbookView.403</x:v>
      </x:c>
      <x:c r="D44" s="25" t="str">
        <x:v>Visible JSX text</x:v>
      </x:c>
      <x:c r="E44" s="25" t="str">
        <x:v>Close Video ✕</x:v>
      </x:c>
      <x:c r="F44" s="27" t="str"/>
      <x:c r="G44" s="25" t="str">
        <x:f>IF(F44="","Missing",IF(TRIM(F44)=TRIM(E44),"Review: same as English","Translated"))</x:f>
        <x:v>Missing</x:v>
      </x:c>
      <x:c r="H44" s="27" t="str"/>
      <x:c r="I44" s="25" t="str">
        <x:f>IF(H44="","Missing",IF(TRIM(H44)=TRIM(E44),"Review: same as English","Translated"))</x:f>
        <x:v>Missing</x:v>
      </x:c>
      <x:c r="J44" s="27" t="str">
        <x:v>Move this text into UI_TRANSLATIONS when implementing the completed pack.</x:v>
      </x:c>
    </x:row>
    <x:row r="45" ht="34" customHeight="1">
      <x:c r="A45" s="25" t="str">
        <x:v>HandbookView.tsx</x:v>
      </x:c>
      <x:c r="B45" s="25" t="n">
        <x:v>408</x:v>
      </x:c>
      <x:c r="C45" s="25" t="str">
        <x:v>hardcoded.HandbookView.408</x:v>
      </x:c>
      <x:c r="D45" s="25" t="str">
        <x:v>Visible JSX text</x:v>
      </x:c>
      <x:c r="E45" s="25" t="str">
        <x:v>[Playing] Executive Introduction to Red Point Integrity Guidelines</x:v>
      </x:c>
      <x:c r="F45" s="27" t="str"/>
      <x:c r="G45" s="25" t="str">
        <x:f>IF(F45="","Missing",IF(TRIM(F45)=TRIM(E45),"Review: same as English","Translated"))</x:f>
        <x:v>Missing</x:v>
      </x:c>
      <x:c r="H45" s="27" t="str"/>
      <x:c r="I45" s="25" t="str">
        <x:f>IF(H45="","Missing",IF(TRIM(H45)=TRIM(E45),"Review: same as English","Translated"))</x:f>
        <x:v>Missing</x:v>
      </x:c>
      <x:c r="J45" s="27" t="str">
        <x:v>Move this text into UI_TRANSLATIONS when implementing the completed pack.</x:v>
      </x:c>
    </x:row>
    <x:row r="46" ht="34" customHeight="1">
      <x:c r="A46" s="25" t="str">
        <x:v>HandbookView.tsx</x:v>
      </x:c>
      <x:c r="B46" s="25" t="n">
        <x:v>444</x:v>
      </x:c>
      <x:c r="C46" s="25" t="str">
        <x:v>hardcoded.HandbookView.444</x:v>
      </x:c>
      <x:c r="D46" s="25" t="str">
        <x:v>Visible JSX text</x:v>
      </x:c>
      <x:c r="E46" s="25" t="str">
        <x:v>Full Detail</x:v>
      </x:c>
      <x:c r="F46" s="27" t="str"/>
      <x:c r="G46" s="25" t="str">
        <x:f>IF(F46="","Missing",IF(TRIM(F46)=TRIM(E46),"Review: same as English","Translated"))</x:f>
        <x:v>Missing</x:v>
      </x:c>
      <x:c r="H46" s="27" t="str"/>
      <x:c r="I46" s="25" t="str">
        <x:f>IF(H46="","Missing",IF(TRIM(H46)=TRIM(E46),"Review: same as English","Translated"))</x:f>
        <x:v>Missing</x:v>
      </x:c>
      <x:c r="J46" s="27" t="str">
        <x:v>Move this text into UI_TRANSLATIONS when implementing the completed pack.</x:v>
      </x:c>
    </x:row>
    <x:row r="47" ht="34" customHeight="1">
      <x:c r="A47" s="25" t="str">
        <x:v>HandbookView.tsx</x:v>
      </x:c>
      <x:c r="B47" s="25" t="n">
        <x:v>456</x:v>
      </x:c>
      <x:c r="C47" s="25" t="str">
        <x:v>hardcoded.HandbookView.456</x:v>
      </x:c>
      <x:c r="D47" s="25" t="str">
        <x:v>Visible JSX text</x:v>
      </x:c>
      <x:c r="E47" s="25" t="str">
        <x:v>Executive Summary</x:v>
      </x:c>
      <x:c r="F47" s="27" t="str"/>
      <x:c r="G47" s="25" t="str">
        <x:f>IF(F47="","Missing",IF(TRIM(F47)=TRIM(E47),"Review: same as English","Translated"))</x:f>
        <x:v>Missing</x:v>
      </x:c>
      <x:c r="H47" s="27" t="str"/>
      <x:c r="I47" s="25" t="str">
        <x:f>IF(H47="","Missing",IF(TRIM(H47)=TRIM(E47),"Review: same as English","Translated"))</x:f>
        <x:v>Missing</x:v>
      </x:c>
      <x:c r="J47" s="27" t="str">
        <x:v>Move this text into UI_TRANSLATIONS when implementing the completed pack.</x:v>
      </x:c>
    </x:row>
    <x:row r="48" ht="34" customHeight="1">
      <x:c r="A48" s="25" t="str">
        <x:v>HandbookView.tsx</x:v>
      </x:c>
      <x:c r="B48" s="25" t="n">
        <x:v>536</x:v>
      </x:c>
      <x:c r="C48" s="25" t="str">
        <x:v>hardcoded.HandbookView.536</x:v>
      </x:c>
      <x:c r="D48" s="25" t="str">
        <x:v>Visible JSX text</x:v>
      </x:c>
      <x:c r="E48" s="25" t="str">
        <x:v>) : ( /* EXECUTIVE SUMMARY VIEW MODE */</x:v>
      </x:c>
      <x:c r="F48" s="27" t="str"/>
      <x:c r="G48" s="25" t="str">
        <x:f>IF(F48="","Missing",IF(TRIM(F48)=TRIM(E48),"Review: same as English","Translated"))</x:f>
        <x:v>Missing</x:v>
      </x:c>
      <x:c r="H48" s="27" t="str"/>
      <x:c r="I48" s="25" t="str">
        <x:f>IF(H48="","Missing",IF(TRIM(H48)=TRIM(E48),"Review: same as English","Translated"))</x:f>
        <x:v>Missing</x:v>
      </x:c>
      <x:c r="J48" s="27" t="str">
        <x:v>Move this text into UI_TRANSLATIONS when implementing the completed pack.</x:v>
      </x:c>
    </x:row>
    <x:row r="49" ht="34" customHeight="1">
      <x:c r="A49" s="25" t="str">
        <x:v>HandbookView.tsx</x:v>
      </x:c>
      <x:c r="B49" s="25" t="n">
        <x:v>547</x:v>
      </x:c>
      <x:c r="C49" s="25" t="str">
        <x:v>hardcoded.HandbookView.547</x:v>
      </x:c>
      <x:c r="D49" s="25" t="str">
        <x:v>Visible JSX text</x:v>
      </x:c>
      <x:c r="E49" s="25" t="str">
        <x:v>Executive Section Takeaway</x:v>
      </x:c>
      <x:c r="F49" s="27" t="str"/>
      <x:c r="G49" s="25" t="str">
        <x:f>IF(F49="","Missing",IF(TRIM(F49)=TRIM(E49),"Review: same as English","Translated"))</x:f>
        <x:v>Missing</x:v>
      </x:c>
      <x:c r="H49" s="27" t="str"/>
      <x:c r="I49" s="25" t="str">
        <x:f>IF(H49="","Missing",IF(TRIM(H49)=TRIM(E49),"Review: same as English","Translated"))</x:f>
        <x:v>Missing</x:v>
      </x:c>
      <x:c r="J49" s="27" t="str">
        <x:v>Move this text into UI_TRANSLATIONS when implementing the completed pack.</x:v>
      </x:c>
    </x:row>
    <x:row r="50" ht="34" customHeight="1">
      <x:c r="A50" s="25" t="str">
        <x:v>HandbookView.tsx</x:v>
      </x:c>
      <x:c r="B50" s="25" t="n">
        <x:v>558</x:v>
      </x:c>
      <x:c r="C50" s="25" t="str">
        <x:v>hardcoded.HandbookView.558</x:v>
      </x:c>
      <x:c r="D50" s="25" t="str">
        <x:v>Visible JSX text</x:v>
      </x:c>
      <x:c r="E50" s="25" t="str">
        <x:v>Summary Briefing</x:v>
      </x:c>
      <x:c r="F50" s="27" t="str"/>
      <x:c r="G50" s="25" t="str">
        <x:f>IF(F50="","Missing",IF(TRIM(F50)=TRIM(E50),"Review: same as English","Translated"))</x:f>
        <x:v>Missing</x:v>
      </x:c>
      <x:c r="H50" s="27" t="str"/>
      <x:c r="I50" s="25" t="str">
        <x:f>IF(H50="","Missing",IF(TRIM(H50)=TRIM(E50),"Review: same as English","Translated"))</x:f>
        <x:v>Missing</x:v>
      </x:c>
      <x:c r="J50" s="27" t="str">
        <x:v>Move this text into UI_TRANSLATIONS when implementing the completed pack.</x:v>
      </x:c>
    </x:row>
    <x:row r="51" ht="34" customHeight="1">
      <x:c r="A51" s="25" t="str">
        <x:v>HandbookView.tsx</x:v>
      </x:c>
      <x:c r="B51" s="25" t="n">
        <x:v>600</x:v>
      </x:c>
      <x:c r="C51" s="25" t="str">
        <x:v>hardcoded.HandbookView.600</x:v>
      </x:c>
      <x:c r="D51" s="25" t="str">
        <x:v>Visible JSX text</x:v>
      </x:c>
      <x:c r="E51" s="25" t="str">
        <x:v>Need the complete line-by-line legal text and tables?</x:v>
      </x:c>
      <x:c r="F51" s="27" t="str"/>
      <x:c r="G51" s="25" t="str">
        <x:f>IF(F51="","Missing",IF(TRIM(F51)=TRIM(E51),"Review: same as English","Translated"))</x:f>
        <x:v>Missing</x:v>
      </x:c>
      <x:c r="H51" s="27" t="str"/>
      <x:c r="I51" s="25" t="str">
        <x:f>IF(H51="","Missing",IF(TRIM(H51)=TRIM(E51),"Review: same as English","Translated"))</x:f>
        <x:v>Missing</x:v>
      </x:c>
      <x:c r="J51" s="27" t="str">
        <x:v>Move this text into UI_TRANSLATIONS when implementing the completed pack.</x:v>
      </x:c>
    </x:row>
    <x:row r="52" ht="34" customHeight="1">
      <x:c r="A52" s="25" t="str">
        <x:v>HandbookView.tsx</x:v>
      </x:c>
      <x:c r="B52" s="25" t="n">
        <x:v>608</x:v>
      </x:c>
      <x:c r="C52" s="25" t="str">
        <x:v>hardcoded.HandbookView.608</x:v>
      </x:c>
      <x:c r="D52" s="25" t="str">
        <x:v>Visible JSX text</x:v>
      </x:c>
      <x:c r="E52" s="25" t="str">
        <x:v>View Full Detail</x:v>
      </x:c>
      <x:c r="F52" s="27" t="str"/>
      <x:c r="G52" s="25" t="str">
        <x:f>IF(F52="","Missing",IF(TRIM(F52)=TRIM(E52),"Review: same as English","Translated"))</x:f>
        <x:v>Missing</x:v>
      </x:c>
      <x:c r="H52" s="27" t="str"/>
      <x:c r="I52" s="25" t="str">
        <x:f>IF(H52="","Missing",IF(TRIM(H52)=TRIM(E52),"Review: same as English","Translated"))</x:f>
        <x:v>Missing</x:v>
      </x:c>
      <x:c r="J52" s="27" t="str">
        <x:v>Move this text into UI_TRANSLATIONS when implementing the completed pack.</x:v>
      </x:c>
    </x:row>
    <x:row r="53" ht="34" customHeight="1">
      <x:c r="A53" s="25" t="str">
        <x:v>HandbookView.tsx</x:v>
      </x:c>
      <x:c r="B53" s="25" t="n">
        <x:v>628</x:v>
      </x:c>
      <x:c r="C53" s="25" t="str">
        <x:v>hardcoded.HandbookView.628</x:v>
      </x:c>
      <x:c r="D53" s="25" t="str">
        <x:v>Visible JSX text</x:v>
      </x:c>
      <x:c r="E53" s="25" t="str">
        <x:v>FINAL PROVISION &amp; EMPLOYEE ACKNOWLEDGEMENT</x:v>
      </x:c>
      <x:c r="F53" s="27" t="str"/>
      <x:c r="G53" s="25" t="str">
        <x:f>IF(F53="","Missing",IF(TRIM(F53)=TRIM(E53),"Review: same as English","Translated"))</x:f>
        <x:v>Missing</x:v>
      </x:c>
      <x:c r="H53" s="27" t="str"/>
      <x:c r="I53" s="25" t="str">
        <x:f>IF(H53="","Missing",IF(TRIM(H53)=TRIM(E53),"Review: same as English","Translated"))</x:f>
        <x:v>Missing</x:v>
      </x:c>
      <x:c r="J53" s="27" t="str">
        <x:v>Move this text into UI_TRANSLATIONS when implementing the completed pack.</x:v>
      </x:c>
    </x:row>
    <x:row r="54" ht="34" customHeight="1">
      <x:c r="A54" s="25" t="str">
        <x:v>HandbookView.tsx</x:v>
      </x:c>
      <x:c r="B54" s="25" t="n">
        <x:v>631</x:v>
      </x:c>
      <x:c r="C54" s="25" t="str">
        <x:v>hardcoded.HandbookView.631</x:v>
      </x:c>
      <x:c r="D54" s="25" t="str">
        <x:v>Visible JSX text</x:v>
      </x:c>
      <x:c r="E54" s="25" t="str">
        <x:v>RedPoint Sdn. Bhd. Employee Handbook • Formal Digital Sign-Off Form</x:v>
      </x:c>
      <x:c r="F54" s="27" t="str"/>
      <x:c r="G54" s="25" t="str">
        <x:f>IF(F54="","Missing",IF(TRIM(F54)=TRIM(E54),"Review: same as English","Translated"))</x:f>
        <x:v>Missing</x:v>
      </x:c>
      <x:c r="H54" s="27" t="str"/>
      <x:c r="I54" s="25" t="str">
        <x:f>IF(H54="","Missing",IF(TRIM(H54)=TRIM(E54),"Review: same as English","Translated"))</x:f>
        <x:v>Missing</x:v>
      </x:c>
      <x:c r="J54" s="27" t="str">
        <x:v>Move this text into UI_TRANSLATIONS when implementing the completed pack.</x:v>
      </x:c>
    </x:row>
    <x:row r="55" ht="34" customHeight="1">
      <x:c r="A55" s="25" t="str">
        <x:v>HandbookView.tsx</x:v>
      </x:c>
      <x:c r="B55" s="25" t="n">
        <x:v>640</x:v>
      </x:c>
      <x:c r="C55" s="25" t="str">
        <x:v>hardcoded.HandbookView.640</x:v>
      </x:c>
      <x:c r="D55" s="25" t="str">
        <x:v>Visible JSX text</x:v>
      </x:c>
      <x:c r="E55" s="25" t="str">
        <x:v>Acknowledged &amp; Archived</x:v>
      </x:c>
      <x:c r="F55" s="27" t="str"/>
      <x:c r="G55" s="25" t="str">
        <x:f>IF(F55="","Missing",IF(TRIM(F55)=TRIM(E55),"Review: same as English","Translated"))</x:f>
        <x:v>Missing</x:v>
      </x:c>
      <x:c r="H55" s="27" t="str"/>
      <x:c r="I55" s="25" t="str">
        <x:f>IF(H55="","Missing",IF(TRIM(H55)=TRIM(E55),"Review: same as English","Translated"))</x:f>
        <x:v>Missing</x:v>
      </x:c>
      <x:c r="J55" s="27" t="str">
        <x:v>Move this text into UI_TRANSLATIONS when implementing the completed pack.</x:v>
      </x:c>
    </x:row>
    <x:row r="56" ht="34" customHeight="1">
      <x:c r="A56" s="25" t="str">
        <x:v>HandbookView.tsx</x:v>
      </x:c>
      <x:c r="B56" s="25" t="n">
        <x:v>648</x:v>
      </x:c>
      <x:c r="C56" s="25" t="str">
        <x:v>hardcoded.HandbookView.648</x:v>
      </x:c>
      <x:c r="D56" s="25" t="str">
        <x:v>Visible JSX text</x:v>
      </x:c>
      <x:c r="E56" s="25" t="str">
        <x:v>Employee Full Name</x:v>
      </x:c>
      <x:c r="F56" s="27" t="str"/>
      <x:c r="G56" s="25" t="str">
        <x:f>IF(F56="","Missing",IF(TRIM(F56)=TRIM(E56),"Review: same as English","Translated"))</x:f>
        <x:v>Missing</x:v>
      </x:c>
      <x:c r="H56" s="27" t="str"/>
      <x:c r="I56" s="25" t="str">
        <x:f>IF(H56="","Missing",IF(TRIM(H56)=TRIM(E56),"Review: same as English","Translated"))</x:f>
        <x:v>Missing</x:v>
      </x:c>
      <x:c r="J56" s="27" t="str">
        <x:v>Move this text into UI_TRANSLATIONS when implementing the completed pack.</x:v>
      </x:c>
    </x:row>
    <x:row r="57" ht="34" customHeight="1">
      <x:c r="A57" s="25" t="str">
        <x:v>HandbookView.tsx</x:v>
      </x:c>
      <x:c r="B57" s="25" t="n">
        <x:v>672</x:v>
      </x:c>
      <x:c r="C57" s="25" t="str">
        <x:v>hardcoded.HandbookView.672</x:v>
      </x:c>
      <x:c r="D57" s="25" t="str">
        <x:v>Visible JSX text</x:v>
      </x:c>
      <x:c r="E57" s="25" t="str">
        <x:v>Position / Title</x:v>
      </x:c>
      <x:c r="F57" s="27" t="str"/>
      <x:c r="G57" s="25" t="str">
        <x:f>IF(F57="","Missing",IF(TRIM(F57)=TRIM(E57),"Review: same as English","Translated"))</x:f>
        <x:v>Missing</x:v>
      </x:c>
      <x:c r="H57" s="27" t="str"/>
      <x:c r="I57" s="25" t="str">
        <x:f>IF(H57="","Missing",IF(TRIM(H57)=TRIM(E57),"Review: same as English","Translated"))</x:f>
        <x:v>Missing</x:v>
      </x:c>
      <x:c r="J57" s="27" t="str">
        <x:v>Move this text into UI_TRANSLATIONS when implementing the completed pack.</x:v>
      </x:c>
    </x:row>
    <x:row r="58" ht="34" customHeight="1">
      <x:c r="A58" s="25" t="str">
        <x:v>HandbookView.tsx</x:v>
      </x:c>
      <x:c r="B58" s="25" t="n">
        <x:v>684</x:v>
      </x:c>
      <x:c r="C58" s="25" t="str">
        <x:v>hardcoded.HandbookView.684</x:v>
      </x:c>
      <x:c r="D58" s="25" t="str">
        <x:v>Visible JSX text</x:v>
      </x:c>
      <x:c r="E58" s="25" t="str">
        <x:v>Date of Signature</x:v>
      </x:c>
      <x:c r="F58" s="27" t="str"/>
      <x:c r="G58" s="25" t="str">
        <x:f>IF(F58="","Missing",IF(TRIM(F58)=TRIM(E58),"Review: same as English","Translated"))</x:f>
        <x:v>Missing</x:v>
      </x:c>
      <x:c r="H58" s="27" t="str"/>
      <x:c r="I58" s="25" t="str">
        <x:f>IF(H58="","Missing",IF(TRIM(H58)=TRIM(E58),"Review: same as English","Translated"))</x:f>
        <x:v>Missing</x:v>
      </x:c>
      <x:c r="J58" s="27" t="str">
        <x:v>Move this text into UI_TRANSLATIONS when implementing the completed pack.</x:v>
      </x:c>
    </x:row>
    <x:row r="59" ht="34" customHeight="1">
      <x:c r="A59" s="25" t="str">
        <x:v>HandbookView.tsx</x:v>
      </x:c>
      <x:c r="B59" s="25" t="n">
        <x:v>700</x:v>
      </x:c>
      <x:c r="C59" s="25" t="str">
        <x:v>hardcoded.HandbookView.700</x:v>
      </x:c>
      <x:c r="D59" s="25" t="str">
        <x:v>Visible JSX text</x:v>
      </x:c>
      <x:c r="E59" s="25" t="str">
        <x:v>Mandatory Compliance Covenants (Check all to proceed)</x:v>
      </x:c>
      <x:c r="F59" s="27" t="str"/>
      <x:c r="G59" s="25" t="str">
        <x:f>IF(F59="","Missing",IF(TRIM(F59)=TRIM(E59),"Review: same as English","Translated"))</x:f>
        <x:v>Missing</x:v>
      </x:c>
      <x:c r="H59" s="27" t="str"/>
      <x:c r="I59" s="25" t="str">
        <x:f>IF(H59="","Missing",IF(TRIM(H59)=TRIM(E59),"Review: same as English","Translated"))</x:f>
        <x:v>Missing</x:v>
      </x:c>
      <x:c r="J59" s="27" t="str">
        <x:v>Move this text into UI_TRANSLATIONS when implementing the completed pack.</x:v>
      </x:c>
    </x:row>
    <x:row r="60" ht="34" customHeight="1">
      <x:c r="A60" s="25" t="str">
        <x:v>HandbookView.tsx</x:v>
      </x:c>
      <x:c r="B60" s="25" t="n">
        <x:v>761</x:v>
      </x:c>
      <x:c r="C60" s="25" t="str">
        <x:v>hardcoded.HandbookView.761</x:v>
      </x:c>
      <x:c r="D60" s="25" t="str">
        <x:v>Visible JSX text</x:v>
      </x:c>
      <x:c r="E60" s="25" t="str">
        <x:v>Preview Document</x:v>
      </x:c>
      <x:c r="F60" s="27" t="str"/>
      <x:c r="G60" s="25" t="str">
        <x:f>IF(F60="","Missing",IF(TRIM(F60)=TRIM(E60),"Review: same as English","Translated"))</x:f>
        <x:v>Missing</x:v>
      </x:c>
      <x:c r="H60" s="27" t="str"/>
      <x:c r="I60" s="25" t="str">
        <x:f>IF(H60="","Missing",IF(TRIM(H60)=TRIM(E60),"Review: same as English","Translated"))</x:f>
        <x:v>Missing</x:v>
      </x:c>
      <x:c r="J60" s="27" t="str">
        <x:v>Move this text into UI_TRANSLATIONS when implementing the completed pack.</x:v>
      </x:c>
    </x:row>
    <x:row r="61" ht="34" customHeight="1">
      <x:c r="A61" s="25" t="str">
        <x:v>HandbookView.tsx</x:v>
      </x:c>
      <x:c r="B61" s="25" t="n">
        <x:v>775</x:v>
      </x:c>
      <x:c r="C61" s="25" t="str">
        <x:v>hardcoded.HandbookView.775</x:v>
      </x:c>
      <x:c r="D61" s="25" t="str">
        <x:v>Visible JSX text</x:v>
      </x:c>
      <x:c r="E61" s="25" t="str">
        <x:v>Acknowledgement Certificate (PDF)</x:v>
      </x:c>
      <x:c r="F61" s="27" t="str"/>
      <x:c r="G61" s="25" t="str">
        <x:f>IF(F61="","Missing",IF(TRIM(F61)=TRIM(E61),"Review: same as English","Translated"))</x:f>
        <x:v>Missing</x:v>
      </x:c>
      <x:c r="H61" s="27" t="str"/>
      <x:c r="I61" s="25" t="str">
        <x:f>IF(H61="","Missing",IF(TRIM(H61)=TRIM(E61),"Review: same as English","Translated"))</x:f>
        <x:v>Missing</x:v>
      </x:c>
      <x:c r="J61" s="27" t="str">
        <x:v>Move this text into UI_TRANSLATIONS when implementing the completed pack.</x:v>
      </x:c>
    </x:row>
    <x:row r="62" ht="34" customHeight="1">
      <x:c r="A62" s="25" t="str">
        <x:v>HandbookView.tsx</x:v>
      </x:c>
      <x:c r="B62" s="25" t="n">
        <x:v>789</x:v>
      </x:c>
      <x:c r="C62" s="25" t="str">
        <x:v>hardcoded.HandbookView.789</x:v>
      </x:c>
      <x:c r="D62" s="25" t="str">
        <x:v>Visible JSX text</x:v>
      </x:c>
      <x:c r="E62" s="25" t="str">
        <x:v>Download Full Handbook + Quiz Record (PDF)</x:v>
      </x:c>
      <x:c r="F62" s="27" t="str"/>
      <x:c r="G62" s="25" t="str">
        <x:f>IF(F62="","Missing",IF(TRIM(F62)=TRIM(E62),"Review: same as English","Translated"))</x:f>
        <x:v>Missing</x:v>
      </x:c>
      <x:c r="H62" s="27" t="str"/>
      <x:c r="I62" s="25" t="str">
        <x:f>IF(H62="","Missing",IF(TRIM(H62)=TRIM(E62),"Review: same as English","Translated"))</x:f>
        <x:v>Missing</x:v>
      </x:c>
      <x:c r="J62" s="27" t="str">
        <x:v>Move this text into UI_TRANSLATIONS when implementing the completed pack.</x:v>
      </x:c>
    </x:row>
    <x:row r="63" ht="34" customHeight="1">
      <x:c r="A63" s="25" t="str">
        <x:v>HandbookView.tsx</x:v>
      </x:c>
      <x:c r="B63" s="25" t="n">
        <x:v>807</x:v>
      </x:c>
      <x:c r="C63" s="25" t="str">
        <x:v>hardcoded.HandbookView.807</x:v>
      </x:c>
      <x:c r="D63" s="25" t="str">
        <x:v>Visible JSX text</x:v>
      </x:c>
      <x:c r="E63" s="25" t="str">
        <x:v>) : ( /* INITIAL SIGNATURE &amp; SECTION ACKNOWLEDGEMENT CARD FOR PARTS 1 - 14 */</x:v>
      </x:c>
      <x:c r="F63" s="27" t="str"/>
      <x:c r="G63" s="25" t="str">
        <x:f>IF(F63="","Missing",IF(TRIM(F63)=TRIM(E63),"Review: same as English","Translated"))</x:f>
        <x:v>Missing</x:v>
      </x:c>
      <x:c r="H63" s="27" t="str"/>
      <x:c r="I63" s="25" t="str">
        <x:f>IF(H63="","Missing",IF(TRIM(H63)=TRIM(E63),"Review: same as English","Translated"))</x:f>
        <x:v>Missing</x:v>
      </x:c>
      <x:c r="J63" s="27" t="str">
        <x:v>Move this text into UI_TRANSLATIONS when implementing the completed pack.</x:v>
      </x:c>
    </x:row>
    <x:row r="64" ht="34" customHeight="1">
      <x:c r="A64" s="25" t="str">
        <x:v>HandbookView.tsx</x:v>
      </x:c>
      <x:c r="B64" s="25" t="n">
        <x:v>831</x:v>
      </x:c>
      <x:c r="C64" s="25" t="str">
        <x:v>hardcoded.HandbookView.831</x:v>
      </x:c>
      <x:c r="D64" s="25" t="str">
        <x:v>Visible JSX text</x:v>
      </x:c>
      <x:c r="E64" s="25" t="str">
        <x:v>Handwritten Initial Recorded</x:v>
      </x:c>
      <x:c r="F64" s="27" t="str"/>
      <x:c r="G64" s="25" t="str">
        <x:f>IF(F64="","Missing",IF(TRIM(F64)=TRIM(E64),"Review: same as English","Translated"))</x:f>
        <x:v>Missing</x:v>
      </x:c>
      <x:c r="H64" s="27" t="str"/>
      <x:c r="I64" s="25" t="str">
        <x:f>IF(H64="","Missing",IF(TRIM(H64)=TRIM(E64),"Review: same as English","Translated"))</x:f>
        <x:v>Missing</x:v>
      </x:c>
      <x:c r="J64" s="27" t="str">
        <x:v>Move this text into UI_TRANSLATIONS when implementing the completed pack.</x:v>
      </x:c>
    </x:row>
    <x:row r="65" ht="34" customHeight="1">
      <x:c r="A65" s="25" t="str">
        <x:v>HandbookView.tsx</x:v>
      </x:c>
      <x:c r="B65" s="25" t="n">
        <x:v>836</x:v>
      </x:c>
      <x:c r="C65" s="25" t="str">
        <x:v>hardcoded.HandbookView.836</x:v>
      </x:c>
      <x:c r="D65" s="25" t="str">
        <x:v>Visible JSX text</x:v>
      </x:c>
      <x:c r="E65" s="25" t="str">
        <x:v>Handwritten Initial Required</x:v>
      </x:c>
      <x:c r="F65" s="27" t="str"/>
      <x:c r="G65" s="25" t="str">
        <x:f>IF(F65="","Missing",IF(TRIM(F65)=TRIM(E65),"Review: same as English","Translated"))</x:f>
        <x:v>Missing</x:v>
      </x:c>
      <x:c r="H65" s="27" t="str"/>
      <x:c r="I65" s="25" t="str">
        <x:f>IF(H65="","Missing",IF(TRIM(H65)=TRIM(E65),"Review: same as English","Translated"))</x:f>
        <x:v>Missing</x:v>
      </x:c>
      <x:c r="J65" s="27" t="str">
        <x:v>Move this text into UI_TRANSLATIONS when implementing the completed pack.</x:v>
      </x:c>
    </x:row>
    <x:row r="66" ht="34" customHeight="1">
      <x:c r="A66" s="25" t="str">
        <x:v>LanguageSelector.tsx</x:v>
      </x:c>
      <x:c r="B66" s="25" t="n">
        <x:v>73</x:v>
      </x:c>
      <x:c r="C66" s="25" t="str">
        <x:v>hardcoded.LanguageSelector.73</x:v>
      </x:c>
      <x:c r="D66" s="25" t="str">
        <x:v>title attribute</x:v>
      </x:c>
      <x:c r="E66" s="25" t="str">
        <x:v>Change Language / Tukar Bahasa / 切换语言</x:v>
      </x:c>
      <x:c r="F66" s="27" t="str"/>
      <x:c r="G66" s="25" t="str">
        <x:f>IF(F66="","Missing",IF(TRIM(F66)=TRIM(E66),"Review: same as English","Translated"))</x:f>
        <x:v>Missing</x:v>
      </x:c>
      <x:c r="H66" s="27" t="str"/>
      <x:c r="I66" s="25" t="str">
        <x:f>IF(H66="","Missing",IF(TRIM(H66)=TRIM(E66),"Review: same as English","Translated"))</x:f>
        <x:v>Missing</x:v>
      </x:c>
      <x:c r="J66" s="27" t="str">
        <x:v>Move this text into UI_TRANSLATIONS when implementing the completed pack.</x:v>
      </x:c>
    </x:row>
    <x:row r="67" ht="34" customHeight="1">
      <x:c r="A67" s="25" t="str">
        <x:v>LanguageSelector.tsx</x:v>
      </x:c>
      <x:c r="B67" s="25" t="n">
        <x:v>84</x:v>
      </x:c>
      <x:c r="C67" s="25" t="str">
        <x:v>hardcoded.LanguageSelector.84</x:v>
      </x:c>
      <x:c r="D67" s="25" t="str">
        <x:v>Visible JSX text</x:v>
      </x:c>
      <x:c r="E67" s="25" t="str">
        <x:v>Select Language / 语言</x:v>
      </x:c>
      <x:c r="F67" s="27" t="str"/>
      <x:c r="G67" s="25" t="str">
        <x:f>IF(F67="","Missing",IF(TRIM(F67)=TRIM(E67),"Review: same as English","Translated"))</x:f>
        <x:v>Missing</x:v>
      </x:c>
      <x:c r="H67" s="27" t="str"/>
      <x:c r="I67" s="25" t="str">
        <x:f>IF(H67="","Missing",IF(TRIM(H67)=TRIM(E67),"Review: same as English","Translated"))</x:f>
        <x:v>Missing</x:v>
      </x:c>
      <x:c r="J67" s="27" t="str">
        <x:v>Move this text into UI_TRANSLATIONS when implementing the completed pack.</x:v>
      </x:c>
    </x:row>
    <x:row r="68" ht="34" customHeight="1">
      <x:c r="A68" s="25" t="str">
        <x:v>OnboardingPortalView.tsx</x:v>
      </x:c>
      <x:c r="B68" s="25" t="n">
        <x:v>44</x:v>
      </x:c>
      <x:c r="C68" s="25" t="str">
        <x:v>hardcoded.OnboardingPortalView.44</x:v>
      </x:c>
      <x:c r="D68" s="25" t="str">
        <x:v>label property</x:v>
      </x:c>
      <x:c r="E68" s="25" t="str">
        <x:v>My Onboarding</x:v>
      </x:c>
      <x:c r="F68" s="27" t="str"/>
      <x:c r="G68" s="25" t="str">
        <x:f>IF(F68="","Missing",IF(TRIM(F68)=TRIM(E68),"Review: same as English","Translated"))</x:f>
        <x:v>Missing</x:v>
      </x:c>
      <x:c r="H68" s="27" t="str"/>
      <x:c r="I68" s="25" t="str">
        <x:f>IF(H68="","Missing",IF(TRIM(H68)=TRIM(E68),"Review: same as English","Translated"))</x:f>
        <x:v>Missing</x:v>
      </x:c>
      <x:c r="J68" s="27" t="str">
        <x:v>Move this text into UI_TRANSLATIONS when implementing the completed pack.</x:v>
      </x:c>
    </x:row>
    <x:row r="69" ht="34" customHeight="1">
      <x:c r="A69" s="25" t="str">
        <x:v>OnboardingPortalView.tsx</x:v>
      </x:c>
      <x:c r="B69" s="25" t="n">
        <x:v>45</x:v>
      </x:c>
      <x:c r="C69" s="25" t="str">
        <x:v>hardcoded.OnboardingPortalView.45</x:v>
      </x:c>
      <x:c r="D69" s="25" t="str">
        <x:v>label property</x:v>
      </x:c>
      <x:c r="E69" s="25" t="str">
        <x:v>Employee Handbook</x:v>
      </x:c>
      <x:c r="F69" s="27" t="str"/>
      <x:c r="G69" s="25" t="str">
        <x:f>IF(F69="","Missing",IF(TRIM(F69)=TRIM(E69),"Review: same as English","Translated"))</x:f>
        <x:v>Missing</x:v>
      </x:c>
      <x:c r="H69" s="27" t="str"/>
      <x:c r="I69" s="25" t="str">
        <x:f>IF(H69="","Missing",IF(TRIM(H69)=TRIM(E69),"Review: same as English","Translated"))</x:f>
        <x:v>Missing</x:v>
      </x:c>
      <x:c r="J69" s="27" t="str">
        <x:v>Move this text into UI_TRANSLATIONS when implementing the completed pack.</x:v>
      </x:c>
    </x:row>
    <x:row r="70" ht="48" customHeight="1">
      <x:c r="A70" s="25" t="str">
        <x:v>OnboardingPortalView.tsx</x:v>
      </x:c>
      <x:c r="B70" s="25" t="n">
        <x:v>58</x:v>
      </x:c>
      <x:c r="C70" s="25" t="str">
        <x:v>hardcoded.OnboardingPortalView.58</x:v>
      </x:c>
      <x:c r="D70" s="25" t="str">
        <x:v>Visible JSX text</x:v>
      </x:c>
      <x:c r="E70" s="25" t="str">
        <x:v>('journey'); const [selectedCandidateId, setSelectedCandidateId] = useState(candidates[0]?.id || ''); const [modules, setModules] = useState</x:v>
      </x:c>
      <x:c r="F70" s="27" t="str"/>
      <x:c r="G70" s="25" t="str">
        <x:f>IF(F70="","Missing",IF(TRIM(F70)=TRIM(E70),"Review: same as English","Translated"))</x:f>
        <x:v>Missing</x:v>
      </x:c>
      <x:c r="H70" s="27" t="str"/>
      <x:c r="I70" s="25" t="str">
        <x:f>IF(H70="","Missing",IF(TRIM(H70)=TRIM(E70),"Review: same as English","Translated"))</x:f>
        <x:v>Missing</x:v>
      </x:c>
      <x:c r="J70" s="27" t="str">
        <x:v>Move this text into UI_TRANSLATIONS when implementing the completed pack.</x:v>
      </x:c>
    </x:row>
    <x:row r="71" ht="34" customHeight="1">
      <x:c r="A71" s="25" t="str">
        <x:v>OnboardingPortalView.tsx</x:v>
      </x:c>
      <x:c r="B71" s="25" t="n">
        <x:v>174</x:v>
      </x:c>
      <x:c r="C71" s="25" t="str">
        <x:v>hardcoded.OnboardingPortalView.174</x:v>
      </x:c>
      <x:c r="D71" s="25" t="str">
        <x:v>Visible JSX text</x:v>
      </x:c>
      <x:c r="E71" s="25" t="str">
        <x:v>Employee Journey</x:v>
      </x:c>
      <x:c r="F71" s="27" t="str"/>
      <x:c r="G71" s="25" t="str">
        <x:f>IF(F71="","Missing",IF(TRIM(F71)=TRIM(E71),"Review: same as English","Translated"))</x:f>
        <x:v>Missing</x:v>
      </x:c>
      <x:c r="H71" s="27" t="str"/>
      <x:c r="I71" s="25" t="str">
        <x:f>IF(H71="","Missing",IF(TRIM(H71)=TRIM(E71),"Review: same as English","Translated"))</x:f>
        <x:v>Missing</x:v>
      </x:c>
      <x:c r="J71" s="27" t="str">
        <x:v>Move this text into UI_TRANSLATIONS when implementing the completed pack.</x:v>
      </x:c>
    </x:row>
    <x:row r="72" ht="34" customHeight="1">
      <x:c r="A72" s="25" t="str">
        <x:v>OnboardingPortalView.tsx</x:v>
      </x:c>
      <x:c r="B72" s="25" t="n">
        <x:v>175</x:v>
      </x:c>
      <x:c r="C72" s="25" t="str">
        <x:v>hardcoded.OnboardingPortalView.175</x:v>
      </x:c>
      <x:c r="D72" s="25" t="str">
        <x:v>Visible JSX text</x:v>
      </x:c>
      <x:c r="E72" s="25" t="str">
        <x:v>Onboarding Portal</x:v>
      </x:c>
      <x:c r="F72" s="27" t="str"/>
      <x:c r="G72" s="25" t="str">
        <x:f>IF(F72="","Missing",IF(TRIM(F72)=TRIM(E72),"Review: same as English","Translated"))</x:f>
        <x:v>Missing</x:v>
      </x:c>
      <x:c r="H72" s="27" t="str"/>
      <x:c r="I72" s="25" t="str">
        <x:f>IF(H72="","Missing",IF(TRIM(H72)=TRIM(E72),"Review: same as English","Translated"))</x:f>
        <x:v>Missing</x:v>
      </x:c>
      <x:c r="J72" s="27" t="str">
        <x:v>Move this text into UI_TRANSLATIONS when implementing the completed pack.</x:v>
      </x:c>
    </x:row>
    <x:row r="73" ht="34" customHeight="1">
      <x:c r="A73" s="25" t="str">
        <x:v>OnboardingPortalView.tsx</x:v>
      </x:c>
      <x:c r="B73" s="25" t="n">
        <x:v>176</x:v>
      </x:c>
      <x:c r="C73" s="25" t="str">
        <x:v>hardcoded.OnboardingPortalView.176</x:v>
      </x:c>
      <x:c r="D73" s="25" t="str">
        <x:v>Visible JSX text</x:v>
      </x:c>
      <x:c r="E73" s="25" t="str">
        <x:v>Complete handbook acknowledgements, the compliance assessment, and the final signed onboarding record.</x:v>
      </x:c>
      <x:c r="F73" s="27" t="str"/>
      <x:c r="G73" s="25" t="str">
        <x:f>IF(F73="","Missing",IF(TRIM(F73)=TRIM(E73),"Review: same as English","Translated"))</x:f>
        <x:v>Missing</x:v>
      </x:c>
      <x:c r="H73" s="27" t="str"/>
      <x:c r="I73" s="25" t="str">
        <x:f>IF(H73="","Missing",IF(TRIM(H73)=TRIM(E73),"Review: same as English","Translated"))</x:f>
        <x:v>Missing</x:v>
      </x:c>
      <x:c r="J73" s="27" t="str">
        <x:v>Move this text into UI_TRANSLATIONS when implementing the completed pack.</x:v>
      </x:c>
    </x:row>
    <x:row r="74" ht="34" customHeight="1">
      <x:c r="A74" s="25" t="str">
        <x:v>OnboardingPortalView.tsx</x:v>
      </x:c>
      <x:c r="B74" s="25" t="n">
        <x:v>184</x:v>
      </x:c>
      <x:c r="C74" s="25" t="str">
        <x:v>hardcoded.OnboardingPortalView.184</x:v>
      </x:c>
      <x:c r="D74" s="25" t="str">
        <x:v>Visible JSX text</x:v>
      </x:c>
      <x:c r="E74" s="25" t="str">
        <x:v>Employee journey</x:v>
      </x:c>
      <x:c r="F74" s="27" t="str"/>
      <x:c r="G74" s="25" t="str">
        <x:f>IF(F74="","Missing",IF(TRIM(F74)=TRIM(E74),"Review: same as English","Translated"))</x:f>
        <x:v>Missing</x:v>
      </x:c>
      <x:c r="H74" s="27" t="str"/>
      <x:c r="I74" s="25" t="str">
        <x:f>IF(H74="","Missing",IF(TRIM(H74)=TRIM(E74),"Review: same as English","Translated"))</x:f>
        <x:v>Missing</x:v>
      </x:c>
      <x:c r="J74" s="27" t="str">
        <x:v>Move this text into UI_TRANSLATIONS when implementing the completed pack.</x:v>
      </x:c>
    </x:row>
    <x:row r="75" ht="34" customHeight="1">
      <x:c r="A75" s="25" t="str">
        <x:v>OnboardingPortalView.tsx</x:v>
      </x:c>
      <x:c r="B75" s="25" t="n">
        <x:v>205</x:v>
      </x:c>
      <x:c r="C75" s="25" t="str">
        <x:v>hardcoded.OnboardingPortalView.205</x:v>
      </x:c>
      <x:c r="D75" s="25" t="str">
        <x:v>aria-label attribute</x:v>
      </x:c>
      <x:c r="E75" s="25" t="str">
        <x:v>Onboarding Portal sections</x:v>
      </x:c>
      <x:c r="F75" s="27" t="str"/>
      <x:c r="G75" s="25" t="str">
        <x:f>IF(F75="","Missing",IF(TRIM(F75)=TRIM(E75),"Review: same as English","Translated"))</x:f>
        <x:v>Missing</x:v>
      </x:c>
      <x:c r="H75" s="27" t="str"/>
      <x:c r="I75" s="25" t="str">
        <x:f>IF(H75="","Missing",IF(TRIM(H75)=TRIM(E75),"Review: same as English","Translated"))</x:f>
        <x:v>Missing</x:v>
      </x:c>
      <x:c r="J75" s="27" t="str">
        <x:v>Move this text into UI_TRANSLATIONS when implementing the completed pack.</x:v>
      </x:c>
    </x:row>
    <x:row r="76" ht="34" customHeight="1">
      <x:c r="A76" s="25" t="str">
        <x:v>OnboardingPortalView.tsx</x:v>
      </x:c>
      <x:c r="B76" s="25" t="n">
        <x:v>245</x:v>
      </x:c>
      <x:c r="C76" s="25" t="str">
        <x:v>hardcoded.OnboardingPortalView.245</x:v>
      </x:c>
      <x:c r="D76" s="25" t="str">
        <x:v>Visible JSX text</x:v>
      </x:c>
      <x:c r="E76" s="25" t="str">
        <x:v>Overall completion</x:v>
      </x:c>
      <x:c r="F76" s="27" t="str"/>
      <x:c r="G76" s="25" t="str">
        <x:f>IF(F76="","Missing",IF(TRIM(F76)=TRIM(E76),"Review: same as English","Translated"))</x:f>
        <x:v>Missing</x:v>
      </x:c>
      <x:c r="H76" s="27" t="str"/>
      <x:c r="I76" s="25" t="str">
        <x:f>IF(H76="","Missing",IF(TRIM(H76)=TRIM(E76),"Review: same as English","Translated"))</x:f>
        <x:v>Missing</x:v>
      </x:c>
      <x:c r="J76" s="27" t="str">
        <x:v>Move this text into UI_TRANSLATIONS when implementing the completed pack.</x:v>
      </x:c>
    </x:row>
    <x:row r="77" ht="34" customHeight="1">
      <x:c r="A77" s="25" t="str">
        <x:v>OnboardingPortalView.tsx</x:v>
      </x:c>
      <x:c r="B77" s="25" t="n">
        <x:v>260</x:v>
      </x:c>
      <x:c r="C77" s="25" t="str">
        <x:v>hardcoded.OnboardingPortalView.260</x:v>
      </x:c>
      <x:c r="D77" s="25" t="str">
        <x:v>title attribute</x:v>
      </x:c>
      <x:c r="E77" s="25" t="str">
        <x:v>Employee profile</x:v>
      </x:c>
      <x:c r="F77" s="27" t="str"/>
      <x:c r="G77" s="25" t="str">
        <x:f>IF(F77="","Missing",IF(TRIM(F77)=TRIM(E77),"Review: same as English","Translated"))</x:f>
        <x:v>Missing</x:v>
      </x:c>
      <x:c r="H77" s="27" t="str"/>
      <x:c r="I77" s="25" t="str">
        <x:f>IF(H77="","Missing",IF(TRIM(H77)=TRIM(E77),"Review: same as English","Translated"))</x:f>
        <x:v>Missing</x:v>
      </x:c>
      <x:c r="J77" s="27" t="str">
        <x:v>Move this text into UI_TRANSLATIONS when implementing the completed pack.</x:v>
      </x:c>
    </x:row>
    <x:row r="78" ht="34" customHeight="1">
      <x:c r="A78" s="25" t="str">
        <x:v>OnboardingPortalView.tsx</x:v>
      </x:c>
      <x:c r="B78" s="25" t="n">
        <x:v>270</x:v>
      </x:c>
      <x:c r="C78" s="25" t="str">
        <x:v>hardcoded.OnboardingPortalView.270</x:v>
      </x:c>
      <x:c r="D78" s="25" t="str">
        <x:v>title attribute</x:v>
      </x:c>
      <x:c r="E78" s="25" t="str">
        <x:v>Onboarding form</x:v>
      </x:c>
      <x:c r="F78" s="27" t="str"/>
      <x:c r="G78" s="25" t="str">
        <x:f>IF(F78="","Missing",IF(TRIM(F78)=TRIM(E78),"Review: same as English","Translated"))</x:f>
        <x:v>Missing</x:v>
      </x:c>
      <x:c r="H78" s="27" t="str"/>
      <x:c r="I78" s="25" t="str">
        <x:f>IF(H78="","Missing",IF(TRIM(H78)=TRIM(E78),"Review: same as English","Translated"))</x:f>
        <x:v>Missing</x:v>
      </x:c>
      <x:c r="J78" s="27" t="str">
        <x:v>Move this text into UI_TRANSLATIONS when implementing the completed pack.</x:v>
      </x:c>
    </x:row>
    <x:row r="79" ht="34" customHeight="1">
      <x:c r="A79" s="25" t="str">
        <x:v>OnboardingPortalView.tsx</x:v>
      </x:c>
      <x:c r="B79" s="25" t="n">
        <x:v>276</x:v>
      </x:c>
      <x:c r="C79" s="25" t="str">
        <x:v>hardcoded.OnboardingPortalView.276</x:v>
      </x:c>
      <x:c r="D79" s="25" t="str">
        <x:v>title attribute</x:v>
      </x:c>
      <x:c r="E79" s="25" t="str">
        <x:v>Employee handbook</x:v>
      </x:c>
      <x:c r="F79" s="27" t="str"/>
      <x:c r="G79" s="25" t="str">
        <x:f>IF(F79="","Missing",IF(TRIM(F79)=TRIM(E79),"Review: same as English","Translated"))</x:f>
        <x:v>Missing</x:v>
      </x:c>
      <x:c r="H79" s="27" t="str"/>
      <x:c r="I79" s="25" t="str">
        <x:f>IF(H79="","Missing",IF(TRIM(H79)=TRIM(E79),"Review: same as English","Translated"))</x:f>
        <x:v>Missing</x:v>
      </x:c>
      <x:c r="J79" s="27" t="str">
        <x:v>Move this text into UI_TRANSLATIONS when implementing the completed pack.</x:v>
      </x:c>
    </x:row>
    <x:row r="80" ht="34" customHeight="1">
      <x:c r="A80" s="25" t="str">
        <x:v>OnboardingPortalView.tsx</x:v>
      </x:c>
      <x:c r="B80" s="25" t="n">
        <x:v>279</x:v>
      </x:c>
      <x:c r="C80" s="25" t="str">
        <x:v>hardcoded.OnboardingPortalView.279</x:v>
      </x:c>
      <x:c r="D80" s="25" t="str">
        <x:v>actionLabel attribute</x:v>
      </x:c>
      <x:c r="E80" s="25" t="str">
        <x:v>Continue handbook</x:v>
      </x:c>
      <x:c r="F80" s="27" t="str"/>
      <x:c r="G80" s="25" t="str">
        <x:f>IF(F80="","Missing",IF(TRIM(F80)=TRIM(E80),"Review: same as English","Translated"))</x:f>
        <x:v>Missing</x:v>
      </x:c>
      <x:c r="H80" s="27" t="str"/>
      <x:c r="I80" s="25" t="str">
        <x:f>IF(H80="","Missing",IF(TRIM(H80)=TRIM(E80),"Review: same as English","Translated"))</x:f>
        <x:v>Missing</x:v>
      </x:c>
      <x:c r="J80" s="27" t="str">
        <x:v>Move this text into UI_TRANSLATIONS when implementing the completed pack.</x:v>
      </x:c>
    </x:row>
    <x:row r="81" ht="34" customHeight="1">
      <x:c r="A81" s="25" t="str">
        <x:v>OnboardingPortalView.tsx</x:v>
      </x:c>
      <x:c r="B81" s="25" t="n">
        <x:v>284</x:v>
      </x:c>
      <x:c r="C81" s="25" t="str">
        <x:v>hardcoded.OnboardingPortalView.284</x:v>
      </x:c>
      <x:c r="D81" s="25" t="str">
        <x:v>title attribute</x:v>
      </x:c>
      <x:c r="E81" s="25" t="str">
        <x:v>Compliance quiz</x:v>
      </x:c>
      <x:c r="F81" s="27" t="str"/>
      <x:c r="G81" s="25" t="str">
        <x:f>IF(F81="","Missing",IF(TRIM(F81)=TRIM(E81),"Review: same as English","Translated"))</x:f>
        <x:v>Missing</x:v>
      </x:c>
      <x:c r="H81" s="27" t="str"/>
      <x:c r="I81" s="25" t="str">
        <x:f>IF(H81="","Missing",IF(TRIM(H81)=TRIM(E81),"Review: same as English","Translated"))</x:f>
        <x:v>Missing</x:v>
      </x:c>
      <x:c r="J81" s="27" t="str">
        <x:v>Move this text into UI_TRANSLATIONS when implementing the completed pack.</x:v>
      </x:c>
    </x:row>
    <x:row r="82" ht="34" customHeight="1">
      <x:c r="A82" s="25" t="str">
        <x:v>OnboardingPortalView.tsx</x:v>
      </x:c>
      <x:c r="B82" s="25" t="n">
        <x:v>313</x:v>
      </x:c>
      <x:c r="C82" s="25" t="str">
        <x:v>hardcoded.OnboardingPortalView.313</x:v>
      </x:c>
      <x:c r="D82" s="25" t="str">
        <x:v>Visible JSX text</x:v>
      </x:c>
      <x:c r="E82" s="25" t="str">
        <x:v>Final Record</x:v>
      </x:c>
      <x:c r="F82" s="27" t="str"/>
      <x:c r="G82" s="25" t="str">
        <x:f>IF(F82="","Missing",IF(TRIM(F82)=TRIM(E82),"Review: same as English","Translated"))</x:f>
        <x:v>Missing</x:v>
      </x:c>
      <x:c r="H82" s="27" t="str"/>
      <x:c r="I82" s="25" t="str">
        <x:f>IF(H82="","Missing",IF(TRIM(H82)=TRIM(E82),"Review: same as English","Translated"))</x:f>
        <x:v>Missing</x:v>
      </x:c>
      <x:c r="J82" s="27" t="str">
        <x:v>Move this text into UI_TRANSLATIONS when implementing the completed pack.</x:v>
      </x:c>
    </x:row>
    <x:row r="83" ht="34" customHeight="1">
      <x:c r="A83" s="25" t="str">
        <x:v>OnboardingPortalView.tsx</x:v>
      </x:c>
      <x:c r="B83" s="25" t="n">
        <x:v>314</x:v>
      </x:c>
      <x:c r="C83" s="25" t="str">
        <x:v>hardcoded.OnboardingPortalView.314</x:v>
      </x:c>
      <x:c r="D83" s="25" t="str">
        <x:v>Visible JSX text</x:v>
      </x:c>
      <x:c r="E83" s="25" t="str">
        <x:v>Completion Record</x:v>
      </x:c>
      <x:c r="F83" s="27" t="str"/>
      <x:c r="G83" s="25" t="str">
        <x:f>IF(F83="","Missing",IF(TRIM(F83)=TRIM(E83),"Review: same as English","Translated"))</x:f>
        <x:v>Missing</x:v>
      </x:c>
      <x:c r="H83" s="27" t="str"/>
      <x:c r="I83" s="25" t="str">
        <x:f>IF(H83="","Missing",IF(TRIM(H83)=TRIM(E83),"Review: same as English","Translated"))</x:f>
        <x:v>Missing</x:v>
      </x:c>
      <x:c r="J83" s="27" t="str">
        <x:v>Move this text into UI_TRANSLATIONS when implementing the completed pack.</x:v>
      </x:c>
    </x:row>
    <x:row r="84" ht="34" customHeight="1">
      <x:c r="A84" s="25" t="str">
        <x:v>OnboardingPortalView.tsx</x:v>
      </x:c>
      <x:c r="B84" s="25" t="n">
        <x:v>325</x:v>
      </x:c>
      <x:c r="C84" s="25" t="str">
        <x:v>hardcoded.OnboardingPortalView.325</x:v>
      </x:c>
      <x:c r="D84" s="25" t="str">
        <x:v>label attribute</x:v>
      </x:c>
      <x:c r="E84" s="25" t="str">
        <x:v>Handbook</x:v>
      </x:c>
      <x:c r="F84" s="27" t="str"/>
      <x:c r="G84" s="25" t="str">
        <x:f>IF(F84="","Missing",IF(TRIM(F84)=TRIM(E84),"Review: same as English","Translated"))</x:f>
        <x:v>Missing</x:v>
      </x:c>
      <x:c r="H84" s="27" t="str"/>
      <x:c r="I84" s="25" t="str">
        <x:f>IF(H84="","Missing",IF(TRIM(H84)=TRIM(E84),"Review: same as English","Translated"))</x:f>
        <x:v>Missing</x:v>
      </x:c>
      <x:c r="J84" s="27" t="str">
        <x:v>Move this text into UI_TRANSLATIONS when implementing the completed pack.</x:v>
      </x:c>
    </x:row>
    <x:row r="85" ht="34" customHeight="1">
      <x:c r="A85" s="25" t="str">
        <x:v>OnboardingPortalView.tsx</x:v>
      </x:c>
      <x:c r="B85" s="25" t="n">
        <x:v>335</x:v>
      </x:c>
      <x:c r="C85" s="25" t="str">
        <x:v>hardcoded.OnboardingPortalView.335</x:v>
      </x:c>
      <x:c r="D85" s="25" t="str">
        <x:v>label attribute</x:v>
      </x:c>
      <x:c r="E85" s="25" t="str">
        <x:v>Digital Signature</x:v>
      </x:c>
      <x:c r="F85" s="27" t="str"/>
      <x:c r="G85" s="25" t="str">
        <x:f>IF(F85="","Missing",IF(TRIM(F85)=TRIM(E85),"Review: same as English","Translated"))</x:f>
        <x:v>Missing</x:v>
      </x:c>
      <x:c r="H85" s="27" t="str"/>
      <x:c r="I85" s="25" t="str">
        <x:f>IF(H85="","Missing",IF(TRIM(H85)=TRIM(E85),"Review: same as English","Translated"))</x:f>
        <x:v>Missing</x:v>
      </x:c>
      <x:c r="J85" s="27" t="str">
        <x:v>Move this text into UI_TRANSLATIONS when implementing the completed pack.</x:v>
      </x:c>
    </x:row>
    <x:row r="86" ht="34" customHeight="1">
      <x:c r="A86" s="25" t="str">
        <x:v>OnboardingPortalView.tsx</x:v>
      </x:c>
      <x:c r="B86" s="25" t="n">
        <x:v>369</x:v>
      </x:c>
      <x:c r="C86" s="25" t="str">
        <x:v>hardcoded.OnboardingPortalView.369</x:v>
      </x:c>
      <x:c r="D86" s="25" t="str">
        <x:v>Visible JSX text</x:v>
      </x:c>
      <x:c r="E86" s="25" t="str">
        <x:v>Download signed record</x:v>
      </x:c>
      <x:c r="F86" s="27" t="str"/>
      <x:c r="G86" s="25" t="str">
        <x:f>IF(F86="","Missing",IF(TRIM(F86)=TRIM(E86),"Review: same as English","Translated"))</x:f>
        <x:v>Missing</x:v>
      </x:c>
      <x:c r="H86" s="27" t="str"/>
      <x:c r="I86" s="25" t="str">
        <x:f>IF(H86="","Missing",IF(TRIM(H86)=TRIM(E86),"Review: same as English","Translated"))</x:f>
        <x:v>Missing</x:v>
      </x:c>
      <x:c r="J86" s="27" t="str">
        <x:v>Move this text into UI_TRANSLATIONS when implementing the completed pack.</x:v>
      </x:c>
    </x:row>
    <x:row r="87" ht="34" customHeight="1">
      <x:c r="A87" s="25" t="str">
        <x:v>QuizView.tsx</x:v>
      </x:c>
      <x:c r="B87" s="25" t="n">
        <x:v>35</x:v>
      </x:c>
      <x:c r="C87" s="25" t="str">
        <x:v>hardcoded.QuizView.35</x:v>
      </x:c>
      <x:c r="D87" s="25" t="str">
        <x:v>Visible JSX text</x:v>
      </x:c>
      <x:c r="E87" s="25" t="str">
        <x:v>; submittedQuestions: Record</x:v>
      </x:c>
      <x:c r="F87" s="27" t="str"/>
      <x:c r="G87" s="25" t="str">
        <x:f>IF(F87="","Missing",IF(TRIM(F87)=TRIM(E87),"Review: same as English","Translated"))</x:f>
        <x:v>Missing</x:v>
      </x:c>
      <x:c r="H87" s="27" t="str"/>
      <x:c r="I87" s="25" t="str">
        <x:f>IF(H87="","Missing",IF(TRIM(H87)=TRIM(E87),"Review: same as English","Translated"))</x:f>
        <x:v>Missing</x:v>
      </x:c>
      <x:c r="J87" s="27" t="str">
        <x:v>Move this text into UI_TRANSLATIONS when implementing the completed pack.</x:v>
      </x:c>
    </x:row>
    <x:row r="88" ht="34" customHeight="1">
      <x:c r="A88" s="25" t="str">
        <x:v>QuizView.tsx</x:v>
      </x:c>
      <x:c r="B88" s="25" t="n">
        <x:v>72</x:v>
      </x:c>
      <x:c r="C88" s="25" t="str">
        <x:v>hardcoded.QuizView.72</x:v>
      </x:c>
      <x:c r="D88" s="25" t="str">
        <x:v>Visible JSX text</x:v>
      </x:c>
      <x:c r="E88" s="25" t="str">
        <x:v>loadSavedProgress(), []); const [currentQuestionIndex, setCurrentQuestionIndex] = useState</x:v>
      </x:c>
      <x:c r="F88" s="27" t="str"/>
      <x:c r="G88" s="25" t="str">
        <x:f>IF(F88="","Missing",IF(TRIM(F88)=TRIM(E88),"Review: same as English","Translated"))</x:f>
        <x:v>Missing</x:v>
      </x:c>
      <x:c r="H88" s="27" t="str"/>
      <x:c r="I88" s="25" t="str">
        <x:f>IF(H88="","Missing",IF(TRIM(H88)=TRIM(E88),"Review: same as English","Translated"))</x:f>
        <x:v>Missing</x:v>
      </x:c>
      <x:c r="J88" s="27" t="str">
        <x:v>Move this text into UI_TRANSLATIONS when implementing the completed pack.</x:v>
      </x:c>
    </x:row>
    <x:row r="89" ht="34" customHeight="1">
      <x:c r="A89" s="25" t="str">
        <x:v>QuizView.tsx</x:v>
      </x:c>
      <x:c r="B89" s="25" t="n">
        <x:v>74</x:v>
      </x:c>
      <x:c r="C89" s="25" t="str">
        <x:v>hardcoded.QuizView.74</x:v>
      </x:c>
      <x:c r="D89" s="25" t="str">
        <x:v>Visible JSX text</x:v>
      </x:c>
      <x:c r="E89" s="25" t="str">
        <x:v>( savedProgress?.currentQuestionIndex ?? 0 ); const [activeTab, setActiveTab] = useState</x:v>
      </x:c>
      <x:c r="F89" s="27" t="str"/>
      <x:c r="G89" s="25" t="str">
        <x:f>IF(F89="","Missing",IF(TRIM(F89)=TRIM(E89),"Review: same as English","Translated"))</x:f>
        <x:v>Missing</x:v>
      </x:c>
      <x:c r="H89" s="27" t="str"/>
      <x:c r="I89" s="25" t="str">
        <x:f>IF(H89="","Missing",IF(TRIM(H89)=TRIM(E89),"Review: same as English","Translated"))</x:f>
        <x:v>Missing</x:v>
      </x:c>
      <x:c r="J89" s="27" t="str">
        <x:v>Move this text into UI_TRANSLATIONS when implementing the completed pack.</x:v>
      </x:c>
    </x:row>
    <x:row r="90" ht="34" customHeight="1">
      <x:c r="A90" s="25" t="str">
        <x:v>QuizView.tsx</x:v>
      </x:c>
      <x:c r="B90" s="25" t="n">
        <x:v>77</x:v>
      </x:c>
      <x:c r="C90" s="25" t="str">
        <x:v>hardcoded.QuizView.77</x:v>
      </x:c>
      <x:c r="D90" s="25" t="str">
        <x:v>Visible JSX text</x:v>
      </x:c>
      <x:c r="E90" s="25" t="str">
        <x:v>('quiz'); const [selectedCategory, setSelectedCategory] = useState</x:v>
      </x:c>
      <x:c r="F90" s="27" t="str"/>
      <x:c r="G90" s="25" t="str">
        <x:f>IF(F90="","Missing",IF(TRIM(F90)=TRIM(E90),"Review: same as English","Translated"))</x:f>
        <x:v>Missing</x:v>
      </x:c>
      <x:c r="H90" s="27" t="str"/>
      <x:c r="I90" s="25" t="str">
        <x:f>IF(H90="","Missing",IF(TRIM(H90)=TRIM(E90),"Review: same as English","Translated"))</x:f>
        <x:v>Missing</x:v>
      </x:c>
      <x:c r="J90" s="27" t="str">
        <x:v>Move this text into UI_TRANSLATIONS when implementing the completed pack.</x:v>
      </x:c>
    </x:row>
    <x:row r="91" ht="34" customHeight="1">
      <x:c r="A91" s="25" t="str">
        <x:v>QuizView.tsx</x:v>
      </x:c>
      <x:c r="B91" s="25" t="n">
        <x:v>78</x:v>
      </x:c>
      <x:c r="C91" s="25" t="str">
        <x:v>hardcoded.QuizView.78</x:v>
      </x:c>
      <x:c r="D91" s="25" t="str">
        <x:v>Visible JSX text</x:v>
      </x:c>
      <x:c r="E91" s="25" t="str">
        <x:v>('All'); const [searchKeyQuery, setSearchKeyQuery] = useState</x:v>
      </x:c>
      <x:c r="F91" s="27" t="str"/>
      <x:c r="G91" s="25" t="str">
        <x:f>IF(F91="","Missing",IF(TRIM(F91)=TRIM(E91),"Review: same as English","Translated"))</x:f>
        <x:v>Missing</x:v>
      </x:c>
      <x:c r="H91" s="27" t="str"/>
      <x:c r="I91" s="25" t="str">
        <x:f>IF(H91="","Missing",IF(TRIM(H91)=TRIM(E91),"Review: same as English","Translated"))</x:f>
        <x:v>Missing</x:v>
      </x:c>
      <x:c r="J91" s="27" t="str">
        <x:v>Move this text into UI_TRANSLATIONS when implementing the completed pack.</x:v>
      </x:c>
    </x:row>
    <x:row r="92" ht="34" customHeight="1">
      <x:c r="A92" s="25" t="str">
        <x:v>QuizView.tsx</x:v>
      </x:c>
      <x:c r="B92" s="25" t="n">
        <x:v>81</x:v>
      </x:c>
      <x:c r="C92" s="25" t="str">
        <x:v>hardcoded.QuizView.81</x:v>
      </x:c>
      <x:c r="D92" s="25" t="str">
        <x:v>Visible JSX text</x:v>
      </x:c>
      <x:c r="E92" s="25" t="str">
        <x:v>number or number[] const [userAnswers, setUserAnswers] = useState</x:v>
      </x:c>
      <x:c r="F92" s="27" t="str"/>
      <x:c r="G92" s="25" t="str">
        <x:f>IF(F92="","Missing",IF(TRIM(F92)=TRIM(E92),"Review: same as English","Translated"))</x:f>
        <x:v>Missing</x:v>
      </x:c>
      <x:c r="H92" s="27" t="str"/>
      <x:c r="I92" s="25" t="str">
        <x:f>IF(H92="","Missing",IF(TRIM(H92)=TRIM(E92),"Review: same as English","Translated"))</x:f>
        <x:v>Missing</x:v>
      </x:c>
      <x:c r="J92" s="27" t="str">
        <x:v>Move this text into UI_TRANSLATIONS when implementing the completed pack.</x:v>
      </x:c>
    </x:row>
    <x:row r="93" ht="34" customHeight="1">
      <x:c r="A93" s="25" t="str">
        <x:v>QuizView.tsx</x:v>
      </x:c>
      <x:c r="B93" s="25" t="n">
        <x:v>85</x:v>
      </x:c>
      <x:c r="C93" s="25" t="str">
        <x:v>hardcoded.QuizView.85</x:v>
      </x:c>
      <x:c r="D93" s="25" t="str">
        <x:v>Visible JSX text</x:v>
      </x:c>
      <x:c r="E93" s="25" t="str">
        <x:v>boolean const [submittedQuestions, setSubmittedQuestions] = useState</x:v>
      </x:c>
      <x:c r="F93" s="27" t="str"/>
      <x:c r="G93" s="25" t="str">
        <x:f>IF(F93="","Missing",IF(TRIM(F93)=TRIM(E93),"Review: same as English","Translated"))</x:f>
        <x:v>Missing</x:v>
      </x:c>
      <x:c r="H93" s="27" t="str"/>
      <x:c r="I93" s="25" t="str">
        <x:f>IF(H93="","Missing",IF(TRIM(H93)=TRIM(E93),"Review: same as English","Translated"))</x:f>
        <x:v>Missing</x:v>
      </x:c>
      <x:c r="J93" s="27" t="str">
        <x:v>Move this text into UI_TRANSLATIONS when implementing the completed pack.</x:v>
      </x:c>
    </x:row>
    <x:row r="94" ht="34" customHeight="1">
      <x:c r="A94" s="25" t="str">
        <x:v>QuizView.tsx</x:v>
      </x:c>
      <x:c r="B94" s="25" t="n">
        <x:v>90</x:v>
      </x:c>
      <x:c r="C94" s="25" t="str">
        <x:v>hardcoded.QuizView.90</x:v>
      </x:c>
      <x:c r="D94" s="25" t="str">
        <x:v>Visible JSX text</x:v>
      </x:c>
      <x:c r="E94" s="25" t="str">
        <x:v>( savedProgress?.secondsRemaining ?? 25 * 60 ); const [isSubmitted, setIsSubmitted] = useState</x:v>
      </x:c>
      <x:c r="F94" s="27" t="str"/>
      <x:c r="G94" s="25" t="str">
        <x:f>IF(F94="","Missing",IF(TRIM(F94)=TRIM(E94),"Review: same as English","Translated"))</x:f>
        <x:v>Missing</x:v>
      </x:c>
      <x:c r="H94" s="27" t="str"/>
      <x:c r="I94" s="25" t="str">
        <x:f>IF(H94="","Missing",IF(TRIM(H94)=TRIM(E94),"Review: same as English","Translated"))</x:f>
        <x:v>Missing</x:v>
      </x:c>
      <x:c r="J94" s="27" t="str">
        <x:v>Move this text into UI_TRANSLATIONS when implementing the completed pack.</x:v>
      </x:c>
    </x:row>
    <x:row r="95" ht="34" customHeight="1">
      <x:c r="A95" s="25" t="str">
        <x:v>QuizView.tsx</x:v>
      </x:c>
      <x:c r="B95" s="25" t="n">
        <x:v>93</x:v>
      </x:c>
      <x:c r="C95" s="25" t="str">
        <x:v>hardcoded.QuizView.93</x:v>
      </x:c>
      <x:c r="D95" s="25" t="str">
        <x:v>Visible JSX text</x:v>
      </x:c>
      <x:c r="E95" s="25" t="str">
        <x:v>( savedProgress?.isSubmitted ?? false ); const [finalScore, setFinalScore] = useState</x:v>
      </x:c>
      <x:c r="F95" s="27" t="str"/>
      <x:c r="G95" s="25" t="str">
        <x:f>IF(F95="","Missing",IF(TRIM(F95)=TRIM(E95),"Review: same as English","Translated"))</x:f>
        <x:v>Missing</x:v>
      </x:c>
      <x:c r="H95" s="27" t="str"/>
      <x:c r="I95" s="25" t="str">
        <x:f>IF(H95="","Missing",IF(TRIM(H95)=TRIM(E95),"Review: same as English","Translated"))</x:f>
        <x:v>Missing</x:v>
      </x:c>
      <x:c r="J95" s="27" t="str">
        <x:v>Move this text into UI_TRANSLATIONS when implementing the completed pack.</x:v>
      </x:c>
    </x:row>
    <x:row r="96" ht="34" customHeight="1">
      <x:c r="A96" s="25" t="str">
        <x:v>QuizView.tsx</x:v>
      </x:c>
      <x:c r="B96" s="25" t="n">
        <x:v>96</x:v>
      </x:c>
      <x:c r="C96" s="25" t="str">
        <x:v>hardcoded.QuizView.96</x:v>
      </x:c>
      <x:c r="D96" s="25" t="str">
        <x:v>Visible JSX text</x:v>
      </x:c>
      <x:c r="E96" s="25" t="str">
        <x:v>( savedProgress?.finalScore ?? 0 ); const [finalGrade, setFinalGrade] = useState</x:v>
      </x:c>
      <x:c r="F96" s="27" t="str"/>
      <x:c r="G96" s="25" t="str">
        <x:f>IF(F96="","Missing",IF(TRIM(F96)=TRIM(E96),"Review: same as English","Translated"))</x:f>
        <x:v>Missing</x:v>
      </x:c>
      <x:c r="H96" s="27" t="str"/>
      <x:c r="I96" s="25" t="str">
        <x:f>IF(H96="","Missing",IF(TRIM(H96)=TRIM(E96),"Review: same as English","Translated"))</x:f>
        <x:v>Missing</x:v>
      </x:c>
      <x:c r="J96" s="27" t="str">
        <x:v>Move this text into UI_TRANSLATIONS when implementing the completed pack.</x:v>
      </x:c>
    </x:row>
    <x:row r="97" ht="34" customHeight="1">
      <x:c r="A97" s="25" t="str">
        <x:v>QuizView.tsx</x:v>
      </x:c>
      <x:c r="B97" s="25" t="n">
        <x:v>250</x:v>
      </x:c>
      <x:c r="C97" s="25" t="str">
        <x:v>hardcoded.QuizView.250</x:v>
      </x:c>
      <x:c r="D97" s="25" t="str">
        <x:v>label property</x:v>
      </x:c>
      <x:c r="E97" s="25" t="str">
        <x:v>Multiple select</x:v>
      </x:c>
      <x:c r="F97" s="27" t="str"/>
      <x:c r="G97" s="25" t="str">
        <x:f>IF(F97="","Missing",IF(TRIM(F97)=TRIM(E97),"Review: same as English","Translated"))</x:f>
        <x:v>Missing</x:v>
      </x:c>
      <x:c r="H97" s="27" t="str"/>
      <x:c r="I97" s="25" t="str">
        <x:f>IF(H97="","Missing",IF(TRIM(H97)=TRIM(E97),"Review: same as English","Translated"))</x:f>
        <x:v>Missing</x:v>
      </x:c>
      <x:c r="J97" s="27" t="str">
        <x:v>Move this text into UI_TRANSLATIONS when implementing the completed pack.</x:v>
      </x:c>
    </x:row>
    <x:row r="98" ht="34" customHeight="1">
      <x:c r="A98" s="25" t="str">
        <x:v>QuizView.tsx</x:v>
      </x:c>
      <x:c r="B98" s="25" t="n">
        <x:v>252</x:v>
      </x:c>
      <x:c r="C98" s="25" t="str">
        <x:v>hardcoded.QuizView.252</x:v>
      </x:c>
      <x:c r="D98" s="25" t="str">
        <x:v>label property</x:v>
      </x:c>
      <x:c r="E98" s="25" t="str">
        <x:v>Procedure sequencing</x:v>
      </x:c>
      <x:c r="F98" s="27" t="str"/>
      <x:c r="G98" s="25" t="str">
        <x:f>IF(F98="","Missing",IF(TRIM(F98)=TRIM(E98),"Review: same as English","Translated"))</x:f>
        <x:v>Missing</x:v>
      </x:c>
      <x:c r="H98" s="27" t="str"/>
      <x:c r="I98" s="25" t="str">
        <x:f>IF(H98="","Missing",IF(TRIM(H98)=TRIM(E98),"Review: same as English","Translated"))</x:f>
        <x:v>Missing</x:v>
      </x:c>
      <x:c r="J98" s="27" t="str">
        <x:v>Move this text into UI_TRANSLATIONS when implementing the completed pack.</x:v>
      </x:c>
    </x:row>
    <x:row r="99" ht="34" customHeight="1">
      <x:c r="A99" s="25" t="str">
        <x:v>QuizView.tsx</x:v>
      </x:c>
      <x:c r="B99" s="25" t="n">
        <x:v>254</x:v>
      </x:c>
      <x:c r="C99" s="25" t="str">
        <x:v>hardcoded.QuizView.254</x:v>
      </x:c>
      <x:c r="D99" s="25" t="str">
        <x:v>label property</x:v>
      </x:c>
      <x:c r="E99" s="25" t="str">
        <x:v>True / False</x:v>
      </x:c>
      <x:c r="F99" s="27" t="str"/>
      <x:c r="G99" s="25" t="str">
        <x:f>IF(F99="","Missing",IF(TRIM(F99)=TRIM(E99),"Review: same as English","Translated"))</x:f>
        <x:v>Missing</x:v>
      </x:c>
      <x:c r="H99" s="27" t="str"/>
      <x:c r="I99" s="25" t="str">
        <x:f>IF(H99="","Missing",IF(TRIM(H99)=TRIM(E99),"Review: same as English","Translated"))</x:f>
        <x:v>Missing</x:v>
      </x:c>
      <x:c r="J99" s="27" t="str">
        <x:v>Move this text into UI_TRANSLATIONS when implementing the completed pack.</x:v>
      </x:c>
    </x:row>
    <x:row r="100" ht="34" customHeight="1">
      <x:c r="A100" s="25" t="str">
        <x:v>QuizView.tsx</x:v>
      </x:c>
      <x:c r="B100" s="25" t="n">
        <x:v>256</x:v>
      </x:c>
      <x:c r="C100" s="25" t="str">
        <x:v>hardcoded.QuizView.256</x:v>
      </x:c>
      <x:c r="D100" s="25" t="str">
        <x:v>label property</x:v>
      </x:c>
      <x:c r="E100" s="25" t="str">
        <x:v>Single answer</x:v>
      </x:c>
      <x:c r="F100" s="27" t="str"/>
      <x:c r="G100" s="25" t="str">
        <x:f>IF(F100="","Missing",IF(TRIM(F100)=TRIM(E100),"Review: same as English","Translated"))</x:f>
        <x:v>Missing</x:v>
      </x:c>
      <x:c r="H100" s="27" t="str"/>
      <x:c r="I100" s="25" t="str">
        <x:f>IF(H100="","Missing",IF(TRIM(H100)=TRIM(E100),"Review: same as English","Translated"))</x:f>
        <x:v>Missing</x:v>
      </x:c>
      <x:c r="J100" s="27" t="str">
        <x:v>Move this text into UI_TRANSLATIONS when implementing the completed pack.</x:v>
      </x:c>
    </x:row>
    <x:row r="101" ht="34" customHeight="1">
      <x:c r="A101" s="25" t="str">
        <x:v>QuizView.tsx</x:v>
      </x:c>
      <x:c r="B101" s="25" t="n">
        <x:v>284</x:v>
      </x:c>
      <x:c r="C101" s="25" t="str">
        <x:v>hardcoded.QuizView.284</x:v>
      </x:c>
      <x:c r="D101" s="25" t="str">
        <x:v>Visible JSX text</x:v>
      </x:c>
      <x:c r="E101" s="25" t="str">
        <x:v>30 handbook-based questions covering SOPs, approvals, conduct, safety, AI &amp; PDPA compliance.</x:v>
      </x:c>
      <x:c r="F101" s="27" t="str"/>
      <x:c r="G101" s="25" t="str">
        <x:f>IF(F101="","Missing",IF(TRIM(F101)=TRIM(E101),"Review: same as English","Translated"))</x:f>
        <x:v>Missing</x:v>
      </x:c>
      <x:c r="H101" s="27" t="str"/>
      <x:c r="I101" s="25" t="str">
        <x:f>IF(H101="","Missing",IF(TRIM(H101)=TRIM(E101),"Review: same as English","Translated"))</x:f>
        <x:v>Missing</x:v>
      </x:c>
      <x:c r="J101" s="27" t="str">
        <x:v>Move this text into UI_TRANSLATIONS when implementing the completed pack.</x:v>
      </x:c>
    </x:row>
    <x:row r="102" ht="34" customHeight="1">
      <x:c r="A102" s="25" t="str">
        <x:v>QuizView.tsx</x:v>
      </x:c>
      <x:c r="B102" s="25" t="n">
        <x:v>301</x:v>
      </x:c>
      <x:c r="C102" s="25" t="str">
        <x:v>hardcoded.QuizView.301</x:v>
      </x:c>
      <x:c r="D102" s="25" t="str">
        <x:v>Visible JSX text</x:v>
      </x:c>
      <x:c r="E102" s="25" t="str">
        <x:v>Interactive Quiz</x:v>
      </x:c>
      <x:c r="F102" s="27" t="str"/>
      <x:c r="G102" s="25" t="str">
        <x:f>IF(F102="","Missing",IF(TRIM(F102)=TRIM(E102),"Review: same as English","Translated"))</x:f>
        <x:v>Missing</x:v>
      </x:c>
      <x:c r="H102" s="27" t="str"/>
      <x:c r="I102" s="25" t="str">
        <x:f>IF(H102="","Missing",IF(TRIM(H102)=TRIM(E102),"Review: same as English","Translated"))</x:f>
        <x:v>Missing</x:v>
      </x:c>
      <x:c r="J102" s="27" t="str">
        <x:v>Move this text into UI_TRANSLATIONS when implementing the completed pack.</x:v>
      </x:c>
    </x:row>
    <x:row r="103" ht="34" customHeight="1">
      <x:c r="A103" s="25" t="str">
        <x:v>QuizView.tsx</x:v>
      </x:c>
      <x:c r="B103" s="25" t="n">
        <x:v>313</x:v>
      </x:c>
      <x:c r="C103" s="25" t="str">
        <x:v>hardcoded.QuizView.313</x:v>
      </x:c>
      <x:c r="D103" s="25" t="str">
        <x:v>Visible JSX text</x:v>
      </x:c>
      <x:c r="E103" s="25" t="str">
        <x:v>HR Answer Key &amp; Sources</x:v>
      </x:c>
      <x:c r="F103" s="27" t="str"/>
      <x:c r="G103" s="25" t="str">
        <x:f>IF(F103="","Missing",IF(TRIM(F103)=TRIM(E103),"Review: same as English","Translated"))</x:f>
        <x:v>Missing</x:v>
      </x:c>
      <x:c r="H103" s="27" t="str"/>
      <x:c r="I103" s="25" t="str">
        <x:f>IF(H103="","Missing",IF(TRIM(H103)=TRIM(E103),"Review: same as English","Translated"))</x:f>
        <x:v>Missing</x:v>
      </x:c>
      <x:c r="J103" s="27" t="str">
        <x:v>Move this text into UI_TRANSLATIONS when implementing the completed pack.</x:v>
      </x:c>
    </x:row>
    <x:row r="104" ht="34" customHeight="1">
      <x:c r="A104" s="25" t="str">
        <x:v>QuizView.tsx</x:v>
      </x:c>
      <x:c r="B104" s="25" t="n">
        <x:v>325</x:v>
      </x:c>
      <x:c r="C104" s="25" t="str">
        <x:v>hardcoded.QuizView.325</x:v>
      </x:c>
      <x:c r="D104" s="25" t="str">
        <x:v>Visible JSX text</x:v>
      </x:c>
      <x:c r="E104" s="25" t="str">
        <x:v>HR Official Answer Key &amp; Handbook Source Basis</x:v>
      </x:c>
      <x:c r="F104" s="27" t="str"/>
      <x:c r="G104" s="25" t="str">
        <x:f>IF(F104="","Missing",IF(TRIM(F104)=TRIM(E104),"Review: same as English","Translated"))</x:f>
        <x:v>Missing</x:v>
      </x:c>
      <x:c r="H104" s="27" t="str"/>
      <x:c r="I104" s="25" t="str">
        <x:f>IF(H104="","Missing",IF(TRIM(H104)=TRIM(E104),"Review: same as English","Translated"))</x:f>
        <x:v>Missing</x:v>
      </x:c>
      <x:c r="J104" s="27" t="str">
        <x:v>Move this text into UI_TRANSLATIONS when implementing the completed pack.</x:v>
      </x:c>
    </x:row>
    <x:row r="105" ht="34" customHeight="1">
      <x:c r="A105" s="25" t="str">
        <x:v>QuizView.tsx</x:v>
      </x:c>
      <x:c r="B105" s="25" t="n">
        <x:v>339</x:v>
      </x:c>
      <x:c r="C105" s="25" t="str">
        <x:v>hardcoded.QuizView.339</x:v>
      </x:c>
      <x:c r="D105" s="25" t="str">
        <x:v>placeholder attribute</x:v>
      </x:c>
      <x:c r="E105" s="25" t="str">
        <x:v>Search policy, keyword or page...</x:v>
      </x:c>
      <x:c r="F105" s="27" t="str"/>
      <x:c r="G105" s="25" t="str">
        <x:f>IF(F105="","Missing",IF(TRIM(F105)=TRIM(E105),"Review: same as English","Translated"))</x:f>
        <x:v>Missing</x:v>
      </x:c>
      <x:c r="H105" s="27" t="str"/>
      <x:c r="I105" s="25" t="str">
        <x:f>IF(H105="","Missing",IF(TRIM(H105)=TRIM(E105),"Review: same as English","Translated"))</x:f>
        <x:v>Missing</x:v>
      </x:c>
      <x:c r="J105" s="27" t="str">
        <x:v>Move this text into UI_TRANSLATIONS when implementing the completed pack.</x:v>
      </x:c>
    </x:row>
    <x:row r="106" ht="34" customHeight="1">
      <x:c r="A106" s="25" t="str">
        <x:v>QuizView.tsx</x:v>
      </x:c>
      <x:c r="B106" s="25" t="n">
        <x:v>350</x:v>
      </x:c>
      <x:c r="C106" s="25" t="str">
        <x:v>hardcoded.QuizView.350</x:v>
      </x:c>
      <x:c r="D106" s="25" t="str">
        <x:v>Visible JSX text</x:v>
      </x:c>
      <x:c r="E106" s="25" t="str">
        <x:v>Q#</x:v>
      </x:c>
      <x:c r="F106" s="27" t="str"/>
      <x:c r="G106" s="25" t="str">
        <x:f>IF(F106="","Missing",IF(TRIM(F106)=TRIM(E106),"Review: same as English","Translated"))</x:f>
        <x:v>Missing</x:v>
      </x:c>
      <x:c r="H106" s="27" t="str"/>
      <x:c r="I106" s="25" t="str">
        <x:f>IF(H106="","Missing",IF(TRIM(H106)=TRIM(E106),"Review: same as English","Translated"))</x:f>
        <x:v>Missing</x:v>
      </x:c>
      <x:c r="J106" s="27" t="str">
        <x:v>Move this text into UI_TRANSLATIONS when implementing the completed pack.</x:v>
      </x:c>
    </x:row>
    <x:row r="107" ht="34" customHeight="1">
      <x:c r="A107" s="25" t="str">
        <x:v>QuizView.tsx</x:v>
      </x:c>
      <x:c r="B107" s="25" t="n">
        <x:v>351</x:v>
      </x:c>
      <x:c r="C107" s="25" t="str">
        <x:v>hardcoded.QuizView.351</x:v>
      </x:c>
      <x:c r="D107" s="25" t="str">
        <x:v>Visible JSX text</x:v>
      </x:c>
      <x:c r="E107" s="25" t="str">
        <x:v>Policy Area</x:v>
      </x:c>
      <x:c r="F107" s="27" t="str"/>
      <x:c r="G107" s="25" t="str">
        <x:f>IF(F107="","Missing",IF(TRIM(F107)=TRIM(E107),"Review: same as English","Translated"))</x:f>
        <x:v>Missing</x:v>
      </x:c>
      <x:c r="H107" s="27" t="str"/>
      <x:c r="I107" s="25" t="str">
        <x:f>IF(H107="","Missing",IF(TRIM(H107)=TRIM(E107),"Review: same as English","Translated"))</x:f>
        <x:v>Missing</x:v>
      </x:c>
      <x:c r="J107" s="27" t="str">
        <x:v>Move this text into UI_TRANSLATIONS when implementing the completed pack.</x:v>
      </x:c>
    </x:row>
    <x:row r="108" ht="34" customHeight="1">
      <x:c r="A108" s="25" t="str">
        <x:v>QuizView.tsx</x:v>
      </x:c>
      <x:c r="B108" s="25" t="n">
        <x:v>352</x:v>
      </x:c>
      <x:c r="C108" s="25" t="str">
        <x:v>hardcoded.QuizView.352</x:v>
      </x:c>
      <x:c r="D108" s="25" t="str">
        <x:v>Visible JSX text</x:v>
      </x:c>
      <x:c r="E108" s="25" t="str">
        <x:v>Question Prompt</x:v>
      </x:c>
      <x:c r="F108" s="27" t="str"/>
      <x:c r="G108" s="25" t="str">
        <x:f>IF(F108="","Missing",IF(TRIM(F108)=TRIM(E108),"Review: same as English","Translated"))</x:f>
        <x:v>Missing</x:v>
      </x:c>
      <x:c r="H108" s="27" t="str"/>
      <x:c r="I108" s="25" t="str">
        <x:f>IF(H108="","Missing",IF(TRIM(H108)=TRIM(E108),"Review: same as English","Translated"))</x:f>
        <x:v>Missing</x:v>
      </x:c>
      <x:c r="J108" s="27" t="str">
        <x:v>Move this text into UI_TRANSLATIONS when implementing the completed pack.</x:v>
      </x:c>
    </x:row>
    <x:row r="109" ht="34" customHeight="1">
      <x:c r="A109" s="25" t="str">
        <x:v>QuizView.tsx</x:v>
      </x:c>
      <x:c r="B109" s="25" t="n">
        <x:v>353</x:v>
      </x:c>
      <x:c r="C109" s="25" t="str">
        <x:v>hardcoded.QuizView.353</x:v>
      </x:c>
      <x:c r="D109" s="25" t="str">
        <x:v>Visible JSX text</x:v>
      </x:c>
      <x:c r="E109" s="25" t="str">
        <x:v>Answer</x:v>
      </x:c>
      <x:c r="F109" s="27" t="str"/>
      <x:c r="G109" s="25" t="str">
        <x:f>IF(F109="","Missing",IF(TRIM(F109)=TRIM(E109),"Review: same as English","Translated"))</x:f>
        <x:v>Missing</x:v>
      </x:c>
      <x:c r="H109" s="27" t="str"/>
      <x:c r="I109" s="25" t="str">
        <x:f>IF(H109="","Missing",IF(TRIM(H109)=TRIM(E109),"Review: same as English","Translated"))</x:f>
        <x:v>Missing</x:v>
      </x:c>
      <x:c r="J109" s="27" t="str">
        <x:v>Move this text into UI_TRANSLATIONS when implementing the completed pack.</x:v>
      </x:c>
    </x:row>
    <x:row r="110" ht="34" customHeight="1">
      <x:c r="A110" s="25" t="str">
        <x:v>QuizView.tsx</x:v>
      </x:c>
      <x:c r="B110" s="25" t="n">
        <x:v>354</x:v>
      </x:c>
      <x:c r="C110" s="25" t="str">
        <x:v>hardcoded.QuizView.354</x:v>
      </x:c>
      <x:c r="D110" s="25" t="str">
        <x:v>Visible JSX text</x:v>
      </x:c>
      <x:c r="E110" s="25" t="str">
        <x:v>Rationale &amp; Handbook Source</x:v>
      </x:c>
      <x:c r="F110" s="27" t="str"/>
      <x:c r="G110" s="25" t="str">
        <x:f>IF(F110="","Missing",IF(TRIM(F110)=TRIM(E110),"Review: same as English","Translated"))</x:f>
        <x:v>Missing</x:v>
      </x:c>
      <x:c r="H110" s="27" t="str"/>
      <x:c r="I110" s="25" t="str">
        <x:f>IF(H110="","Missing",IF(TRIM(H110)=TRIM(E110),"Review: same as English","Translated"))</x:f>
        <x:v>Missing</x:v>
      </x:c>
      <x:c r="J110" s="27" t="str">
        <x:v>Move this text into UI_TRANSLATIONS when implementing the completed pack.</x:v>
      </x:c>
    </x:row>
    <x:row r="111" ht="34" customHeight="1">
      <x:c r="A111" s="25" t="str">
        <x:v>QuizView.tsx</x:v>
      </x:c>
      <x:c r="B111" s="25" t="n">
        <x:v>396</x:v>
      </x:c>
      <x:c r="C111" s="25" t="str">
        <x:v>hardcoded.QuizView.396</x:v>
      </x:c>
      <x:c r="D111" s="25" t="str">
        <x:v>Visible JSX text</x:v>
      </x:c>
      <x:c r="E111" s="25" t="str">
        <x:v>) : ( /* Quiz Mode */</x:v>
      </x:c>
      <x:c r="F111" s="27" t="str"/>
      <x:c r="G111" s="25" t="str">
        <x:f>IF(F111="","Missing",IF(TRIM(F111)=TRIM(E111),"Review: same as English","Translated"))</x:f>
        <x:v>Missing</x:v>
      </x:c>
      <x:c r="H111" s="27" t="str"/>
      <x:c r="I111" s="25" t="str">
        <x:f>IF(H111="","Missing",IF(TRIM(H111)=TRIM(E111),"Review: same as English","Translated"))</x:f>
        <x:v>Missing</x:v>
      </x:c>
      <x:c r="J111" s="27" t="str">
        <x:v>Move this text into UI_TRANSLATIONS when implementing the completed pack.</x:v>
      </x:c>
    </x:row>
    <x:row r="112" ht="34" customHeight="1">
      <x:c r="A112" s="25" t="str">
        <x:v>QuizView.tsx</x:v>
      </x:c>
      <x:c r="B112" s="25" t="n">
        <x:v>414</x:v>
      </x:c>
      <x:c r="C112" s="25" t="str">
        <x:v>hardcoded.QuizView.414</x:v>
      </x:c>
      <x:c r="D112" s="25" t="str">
        <x:v>Visible JSX text</x:v>
      </x:c>
      <x:c r="E112" s="25" t="str">
        <x:v>q.category === cat).length; return (</x:v>
      </x:c>
      <x:c r="F112" s="27" t="str"/>
      <x:c r="G112" s="25" t="str">
        <x:f>IF(F112="","Missing",IF(TRIM(F112)=TRIM(E112),"Review: same as English","Translated"))</x:f>
        <x:v>Missing</x:v>
      </x:c>
      <x:c r="H112" s="27" t="str"/>
      <x:c r="I112" s="25" t="str">
        <x:f>IF(H112="","Missing",IF(TRIM(H112)=TRIM(E112),"Review: same as English","Translated"))</x:f>
        <x:v>Missing</x:v>
      </x:c>
      <x:c r="J112" s="27" t="str">
        <x:v>Move this text into UI_TRANSLATIONS when implementing the completed pack.</x:v>
      </x:c>
    </x:row>
    <x:row r="113" ht="34" customHeight="1">
      <x:c r="A113" s="25" t="str">
        <x:v>QuizView.tsx</x:v>
      </x:c>
      <x:c r="B113" s="25" t="n">
        <x:v>456</x:v>
      </x:c>
      <x:c r="C113" s="25" t="str">
        <x:v>hardcoded.QuizView.456</x:v>
      </x:c>
      <x:c r="D113" s="25" t="str">
        <x:v>Visible JSX text</x:v>
      </x:c>
      <x:c r="E113" s="25" t="str">
        <x:v>Auto-saved</x:v>
      </x:c>
      <x:c r="F113" s="27" t="str"/>
      <x:c r="G113" s="25" t="str">
        <x:f>IF(F113="","Missing",IF(TRIM(F113)=TRIM(E113),"Review: same as English","Translated"))</x:f>
        <x:v>Missing</x:v>
      </x:c>
      <x:c r="H113" s="27" t="str"/>
      <x:c r="I113" s="25" t="str">
        <x:f>IF(H113="","Missing",IF(TRIM(H113)=TRIM(E113),"Review: same as English","Translated"))</x:f>
        <x:v>Missing</x:v>
      </x:c>
      <x:c r="J113" s="27" t="str">
        <x:v>Move this text into UI_TRANSLATIONS when implementing the completed pack.</x:v>
      </x:c>
    </x:row>
    <x:row r="114" ht="62" customHeight="1">
      <x:c r="A114" s="25" t="str">
        <x:v>QuizView.tsx</x:v>
      </x:c>
      <x:c r="B114" s="25" t="n">
        <x:v>480</x:v>
      </x:c>
      <x:c r="C114" s="25" t="str">
        <x:v>hardcoded.QuizView.480</x:v>
      </x:c>
      <x:c r="D114" s="25" t="str">
        <x:v>Visible JSX text</x:v>
      </x:c>
      <x:c r="E114" s="25" t="str">
        <x:v>0 : true); const isCurrentQuestionSubmitted = isSubmitted || !!submittedQuestions[currentQuestionIndex]; const showCorrectAnswerAndRationale = isCurrentQuestionSubmitted &amp;&amp; hasActiveSelection; return (</x:v>
      </x:c>
      <x:c r="F114" s="27" t="str"/>
      <x:c r="G114" s="25" t="str">
        <x:f>IF(F114="","Missing",IF(TRIM(F114)=TRIM(E114),"Review: same as English","Translated"))</x:f>
        <x:v>Missing</x:v>
      </x:c>
      <x:c r="H114" s="27" t="str"/>
      <x:c r="I114" s="25" t="str">
        <x:f>IF(H114="","Missing",IF(TRIM(H114)=TRIM(E114),"Review: same as English","Translated"))</x:f>
        <x:v>Missing</x:v>
      </x:c>
      <x:c r="J114" s="27" t="str">
        <x:v>Move this text into UI_TRANSLATIONS when implementing the completed pack.</x:v>
      </x:c>
    </x:row>
    <x:row r="115" ht="34" customHeight="1">
      <x:c r="A115" s="25" t="str">
        <x:v>QuizView.tsx</x:v>
      </x:c>
      <x:c r="B115" s="25" t="n">
        <x:v>596</x:v>
      </x:c>
      <x:c r="C115" s="25" t="str">
        <x:v>hardcoded.QuizView.596</x:v>
      </x:c>
      <x:c r="D115" s="25" t="str">
        <x:v>Visible JSX text</x:v>
      </x:c>
      <x:c r="E115" s="25" t="str">
        <x:v>Submit Answer</x:v>
      </x:c>
      <x:c r="F115" s="27" t="str"/>
      <x:c r="G115" s="25" t="str">
        <x:f>IF(F115="","Missing",IF(TRIM(F115)=TRIM(E115),"Review: same as English","Translated"))</x:f>
        <x:v>Missing</x:v>
      </x:c>
      <x:c r="H115" s="27" t="str"/>
      <x:c r="I115" s="25" t="str">
        <x:f>IF(H115="","Missing",IF(TRIM(H115)=TRIM(E115),"Review: same as English","Translated"))</x:f>
        <x:v>Missing</x:v>
      </x:c>
      <x:c r="J115" s="27" t="str">
        <x:v>Move this text into UI_TRANSLATIONS when implementing the completed pack.</x:v>
      </x:c>
    </x:row>
    <x:row r="116" ht="34" customHeight="1">
      <x:c r="A116" s="25" t="str">
        <x:v>QuizView.tsx</x:v>
      </x:c>
      <x:c r="B116" s="25" t="n">
        <x:v>628</x:v>
      </x:c>
      <x:c r="C116" s="25" t="str">
        <x:v>hardcoded.QuizView.628</x:v>
      </x:c>
      <x:c r="D116" s="25" t="str">
        <x:v>Visible JSX text</x:v>
      </x:c>
      <x:c r="E116" s="25" t="str">
        <x:v>Handbook Reference &amp; Answer Rationale</x:v>
      </x:c>
      <x:c r="F116" s="27" t="str"/>
      <x:c r="G116" s="25" t="str">
        <x:f>IF(F116="","Missing",IF(TRIM(F116)=TRIM(E116),"Review: same as English","Translated"))</x:f>
        <x:v>Missing</x:v>
      </x:c>
      <x:c r="H116" s="27" t="str"/>
      <x:c r="I116" s="25" t="str">
        <x:f>IF(H116="","Missing",IF(TRIM(H116)=TRIM(E116),"Review: same as English","Translated"))</x:f>
        <x:v>Missing</x:v>
      </x:c>
      <x:c r="J116" s="27" t="str">
        <x:v>Move this text into UI_TRANSLATIONS when implementing the completed pack.</x:v>
      </x:c>
    </x:row>
    <x:row r="117" ht="34" customHeight="1">
      <x:c r="A117" s="25" t="str">
        <x:v>QuizView.tsx</x:v>
      </x:c>
      <x:c r="B117" s="25" t="n">
        <x:v>630</x:v>
      </x:c>
      <x:c r="C117" s="25" t="str">
        <x:v>hardcoded.QuizView.630</x:v>
      </x:c>
      <x:c r="D117" s="25" t="str">
        <x:v>Visible JSX text</x:v>
      </x:c>
      <x:c r="E117" s="25" t="str">
        <x:v>Correct Answer:</x:v>
      </x:c>
      <x:c r="F117" s="27" t="str"/>
      <x:c r="G117" s="25" t="str">
        <x:f>IF(F117="","Missing",IF(TRIM(F117)=TRIM(E117),"Review: same as English","Translated"))</x:f>
        <x:v>Missing</x:v>
      </x:c>
      <x:c r="H117" s="27" t="str"/>
      <x:c r="I117" s="25" t="str">
        <x:f>IF(H117="","Missing",IF(TRIM(H117)=TRIM(E117),"Review: same as English","Translated"))</x:f>
        <x:v>Missing</x:v>
      </x:c>
      <x:c r="J117" s="27" t="str">
        <x:v>Move this text into UI_TRANSLATIONS when implementing the completed pack.</x:v>
      </x:c>
    </x:row>
    <x:row r="118" ht="34" customHeight="1">
      <x:c r="A118" s="25" t="str">
        <x:v>QuizView.tsx</x:v>
      </x:c>
      <x:c r="B118" s="25" t="n">
        <x:v>694</x:v>
      </x:c>
      <x:c r="C118" s="25" t="str">
        <x:v>hardcoded.QuizView.694</x:v>
      </x:c>
      <x:c r="D118" s="25" t="str">
        <x:v>Visible JSX text</x:v>
      </x:c>
      <x:c r="E118" s="25" t="str">
        <x:v>Compliance Assessment Completed!</x:v>
      </x:c>
      <x:c r="F118" s="27" t="str"/>
      <x:c r="G118" s="25" t="str">
        <x:f>IF(F118="","Missing",IF(TRIM(F118)=TRIM(E118),"Review: same as English","Translated"))</x:f>
        <x:v>Missing</x:v>
      </x:c>
      <x:c r="H118" s="27" t="str"/>
      <x:c r="I118" s="25" t="str">
        <x:f>IF(H118="","Missing",IF(TRIM(H118)=TRIM(E118),"Review: same as English","Translated"))</x:f>
        <x:v>Missing</x:v>
      </x:c>
      <x:c r="J118" s="27" t="str">
        <x:v>Move this text into UI_TRANSLATIONS when implementing the completed pack.</x:v>
      </x:c>
    </x:row>
    <x:row r="119" ht="34" customHeight="1">
      <x:c r="A119" s="25" t="str">
        <x:v>QuizView.tsx</x:v>
      </x:c>
      <x:c r="B119" s="25" t="n">
        <x:v>698</x:v>
      </x:c>
      <x:c r="C119" s="25" t="str">
        <x:v>hardcoded.QuizView.698</x:v>
      </x:c>
      <x:c r="D119" s="25" t="str">
        <x:v>Visible JSX text</x:v>
      </x:c>
      <x:c r="E119" s="25" t="str">
        <x:v>Official Score:</x:v>
      </x:c>
      <x:c r="F119" s="27" t="str"/>
      <x:c r="G119" s="25" t="str">
        <x:f>IF(F119="","Missing",IF(TRIM(F119)=TRIM(E119),"Review: same as English","Translated"))</x:f>
        <x:v>Missing</x:v>
      </x:c>
      <x:c r="H119" s="27" t="str"/>
      <x:c r="I119" s="25" t="str">
        <x:f>IF(H119="","Missing",IF(TRIM(H119)=TRIM(E119),"Review: same as English","Translated"))</x:f>
        <x:v>Missing</x:v>
      </x:c>
      <x:c r="J119" s="27" t="str">
        <x:v>Move this text into UI_TRANSLATIONS when implementing the completed pack.</x:v>
      </x:c>
    </x:row>
    <x:row r="120" ht="34" customHeight="1">
      <x:c r="A120" s="25" t="str">
        <x:v>QuizView.tsx</x:v>
      </x:c>
      <x:c r="B120" s="25" t="n">
        <x:v>714</x:v>
      </x:c>
      <x:c r="C120" s="25" t="str">
        <x:v>hardcoded.QuizView.714</x:v>
      </x:c>
      <x:c r="D120" s="25" t="str">
        <x:v>Visible JSX text</x:v>
      </x:c>
      <x:c r="E120" s="25" t="str">
        <x:v>Retake Assessment</x:v>
      </x:c>
      <x:c r="F120" s="27" t="str"/>
      <x:c r="G120" s="25" t="str">
        <x:f>IF(F120="","Missing",IF(TRIM(F120)=TRIM(E120),"Review: same as English","Translated"))</x:f>
        <x:v>Missing</x:v>
      </x:c>
      <x:c r="H120" s="27" t="str"/>
      <x:c r="I120" s="25" t="str">
        <x:f>IF(H120="","Missing",IF(TRIM(H120)=TRIM(E120),"Review: same as English","Translated"))</x:f>
        <x:v>Missing</x:v>
      </x:c>
      <x:c r="J120" s="27" t="str">
        <x:v>Move this text into UI_TRANSLATIONS when implementing the completed pack.</x:v>
      </x:c>
    </x:row>
    <x:row r="121" ht="34" customHeight="1">
      <x:c r="A121" s="25" t="str">
        <x:v>QuizView.tsx</x:v>
      </x:c>
      <x:c r="B121" s="25" t="n">
        <x:v>736</x:v>
      </x:c>
      <x:c r="C121" s="25" t="str">
        <x:v>hardcoded.QuizView.736</x:v>
      </x:c>
      <x:c r="D121" s="25" t="str">
        <x:v>Visible JSX text</x:v>
      </x:c>
      <x:c r="E121" s="25" t="str">
        <x:v>Download Signed PDF &amp; Quiz Record</x:v>
      </x:c>
      <x:c r="F121" s="27" t="str"/>
      <x:c r="G121" s="25" t="str">
        <x:f>IF(F121="","Missing",IF(TRIM(F121)=TRIM(E121),"Review: same as English","Translated"))</x:f>
        <x:v>Missing</x:v>
      </x:c>
      <x:c r="H121" s="27" t="str"/>
      <x:c r="I121" s="25" t="str">
        <x:f>IF(H121="","Missing",IF(TRIM(H121)=TRIM(E121),"Review: same as English","Translated"))</x:f>
        <x:v>Missing</x:v>
      </x:c>
      <x:c r="J121" s="27" t="str">
        <x:v>Move this text into UI_TRANSLATIONS when implementing the completed pack.</x:v>
      </x:c>
    </x:row>
    <x:row r="122" ht="34" customHeight="1">
      <x:c r="A122" s="25" t="str">
        <x:v>QuizView.tsx</x:v>
      </x:c>
      <x:c r="B122" s="25" t="n">
        <x:v>749</x:v>
      </x:c>
      <x:c r="C122" s="25" t="str">
        <x:v>hardcoded.QuizView.749</x:v>
      </x:c>
      <x:c r="D122" s="25" t="str">
        <x:v>Visible JSX text</x:v>
      </x:c>
      <x:c r="E122" s="25" t="str">
        <x:v>Assessment Rules &amp; Grading</x:v>
      </x:c>
      <x:c r="F122" s="27" t="str"/>
      <x:c r="G122" s="25" t="str">
        <x:f>IF(F122="","Missing",IF(TRIM(F122)=TRIM(E122),"Review: same as English","Translated"))</x:f>
        <x:v>Missing</x:v>
      </x:c>
      <x:c r="H122" s="27" t="str"/>
      <x:c r="I122" s="25" t="str">
        <x:f>IF(H122="","Missing",IF(TRIM(H122)=TRIM(E122),"Review: same as English","Translated"))</x:f>
        <x:v>Missing</x:v>
      </x:c>
      <x:c r="J122" s="27" t="str">
        <x:v>Move this text into UI_TRANSLATIONS when implementing the completed pack.</x:v>
      </x:c>
    </x:row>
    <x:row r="123" ht="34" customHeight="1">
      <x:c r="A123" s="25" t="str">
        <x:v>QuizView.tsx</x:v>
      </x:c>
      <x:c r="B123" s="25" t="n">
        <x:v>756</x:v>
      </x:c>
      <x:c r="C123" s="25" t="str">
        <x:v>hardcoded.QuizView.756</x:v>
      </x:c>
      <x:c r="D123" s="25" t="str">
        <x:v>Visible JSX text</x:v>
      </x:c>
      <x:c r="E123" s="25" t="str">
        <x:v>Pass mark: 65% (Grade A)</x:v>
      </x:c>
      <x:c r="F123" s="27" t="str"/>
      <x:c r="G123" s="25" t="str">
        <x:f>IF(F123="","Missing",IF(TRIM(F123)=TRIM(E123),"Review: same as English","Translated"))</x:f>
        <x:v>Missing</x:v>
      </x:c>
      <x:c r="H123" s="27" t="str"/>
      <x:c r="I123" s="25" t="str">
        <x:f>IF(H123="","Missing",IF(TRIM(H123)=TRIM(E123),"Review: same as English","Translated"))</x:f>
        <x:v>Missing</x:v>
      </x:c>
      <x:c r="J123" s="27" t="str">
        <x:v>Move this text into UI_TRANSLATIONS when implementing the completed pack.</x:v>
      </x:c>
    </x:row>
    <x:row r="124" ht="34" customHeight="1">
      <x:c r="A124" s="25" t="str">
        <x:v>QuizView.tsx</x:v>
      </x:c>
      <x:c r="B124" s="25" t="n">
        <x:v>762</x:v>
      </x:c>
      <x:c r="C124" s="25" t="str">
        <x:v>hardcoded.QuizView.762</x:v>
      </x:c>
      <x:c r="D124" s="25" t="str">
        <x:v>Visible JSX text</x:v>
      </x:c>
      <x:c r="E124" s="25" t="str">
        <x:v>Scoring rule:</x:v>
      </x:c>
      <x:c r="F124" s="27" t="str"/>
      <x:c r="G124" s="25" t="str">
        <x:f>IF(F124="","Missing",IF(TRIM(F124)=TRIM(E124),"Review: same as English","Translated"))</x:f>
        <x:v>Missing</x:v>
      </x:c>
      <x:c r="H124" s="27" t="str"/>
      <x:c r="I124" s="25" t="str">
        <x:f>IF(H124="","Missing",IF(TRIM(H124)=TRIM(E124),"Review: same as English","Translated"))</x:f>
        <x:v>Missing</x:v>
      </x:c>
      <x:c r="J124" s="27" t="str">
        <x:v>Move this text into UI_TRANSLATIONS when implementing the completed pack.</x:v>
      </x:c>
    </x:row>
    <x:row r="125" ht="34" customHeight="1">
      <x:c r="A125" s="25" t="str">
        <x:v>QuizView.tsx</x:v>
      </x:c>
      <x:c r="B125" s="25" t="n">
        <x:v>767</x:v>
      </x:c>
      <x:c r="C125" s="25" t="str">
        <x:v>hardcoded.QuizView.767</x:v>
      </x:c>
      <x:c r="D125" s="25" t="str">
        <x:v>Visible JSX text</x:v>
      </x:c>
      <x:c r="E125" s="25" t="str">
        <x:v>Grading Tiers</x:v>
      </x:c>
      <x:c r="F125" s="27" t="str"/>
      <x:c r="G125" s="25" t="str">
        <x:f>IF(F125="","Missing",IF(TRIM(F125)=TRIM(E125),"Review: same as English","Translated"))</x:f>
        <x:v>Missing</x:v>
      </x:c>
      <x:c r="H125" s="27" t="str"/>
      <x:c r="I125" s="25" t="str">
        <x:f>IF(H125="","Missing",IF(TRIM(H125)=TRIM(E125),"Review: same as English","Translated"))</x:f>
        <x:v>Missing</x:v>
      </x:c>
      <x:c r="J125" s="27" t="str">
        <x:v>Move this text into UI_TRANSLATIONS when implementing the completed pack.</x:v>
      </x:c>
    </x:row>
    <x:row r="126" ht="34" customHeight="1">
      <x:c r="A126" s="25" t="str">
        <x:v>QuizView.tsx</x:v>
      </x:c>
      <x:c r="B126" s="25" t="n">
        <x:v>772</x:v>
      </x:c>
      <x:c r="C126" s="25" t="str">
        <x:v>hardcoded.QuizView.772</x:v>
      </x:c>
      <x:c r="D126" s="25" t="str">
        <x:v>Visible JSX text</x:v>
      </x:c>
      <x:c r="E126" s="25" t="str">
        <x:v>Grade S</x:v>
      </x:c>
      <x:c r="F126" s="27" t="str"/>
      <x:c r="G126" s="25" t="str">
        <x:f>IF(F126="","Missing",IF(TRIM(F126)=TRIM(E126),"Review: same as English","Translated"))</x:f>
        <x:v>Missing</x:v>
      </x:c>
      <x:c r="H126" s="27" t="str"/>
      <x:c r="I126" s="25" t="str">
        <x:f>IF(H126="","Missing",IF(TRIM(H126)=TRIM(E126),"Review: same as English","Translated"))</x:f>
        <x:v>Missing</x:v>
      </x:c>
      <x:c r="J126" s="27" t="str">
        <x:v>Move this text into UI_TRANSLATIONS when implementing the completed pack.</x:v>
      </x:c>
    </x:row>
    <x:row r="127" ht="34" customHeight="1">
      <x:c r="A127" s="25" t="str">
        <x:v>QuizView.tsx</x:v>
      </x:c>
      <x:c r="B127" s="25" t="n">
        <x:v>776</x:v>
      </x:c>
      <x:c r="C127" s="25" t="str">
        <x:v>hardcoded.QuizView.776</x:v>
      </x:c>
      <x:c r="D127" s="25" t="str">
        <x:v>Visible JSX text</x:v>
      </x:c>
      <x:c r="E127" s="25" t="str">
        <x:v>Grade A (Pass)</x:v>
      </x:c>
      <x:c r="F127" s="27" t="str"/>
      <x:c r="G127" s="25" t="str">
        <x:f>IF(F127="","Missing",IF(TRIM(F127)=TRIM(E127),"Review: same as English","Translated"))</x:f>
        <x:v>Missing</x:v>
      </x:c>
      <x:c r="H127" s="27" t="str"/>
      <x:c r="I127" s="25" t="str">
        <x:f>IF(H127="","Missing",IF(TRIM(H127)=TRIM(E127),"Review: same as English","Translated"))</x:f>
        <x:v>Missing</x:v>
      </x:c>
      <x:c r="J127" s="27" t="str">
        <x:v>Move this text into UI_TRANSLATIONS when implementing the completed pack.</x:v>
      </x:c>
    </x:row>
    <x:row r="128" ht="34" customHeight="1">
      <x:c r="A128" s="25" t="str">
        <x:v>QuizView.tsx</x:v>
      </x:c>
      <x:c r="B128" s="25" t="n">
        <x:v>780</x:v>
      </x:c>
      <x:c r="C128" s="25" t="str">
        <x:v>hardcoded.QuizView.780</x:v>
      </x:c>
      <x:c r="D128" s="25" t="str">
        <x:v>Visible JSX text</x:v>
      </x:c>
      <x:c r="E128" s="25" t="str">
        <x:v>Grade B</x:v>
      </x:c>
      <x:c r="F128" s="27" t="str"/>
      <x:c r="G128" s="25" t="str">
        <x:f>IF(F128="","Missing",IF(TRIM(F128)=TRIM(E128),"Review: same as English","Translated"))</x:f>
        <x:v>Missing</x:v>
      </x:c>
      <x:c r="H128" s="27" t="str"/>
      <x:c r="I128" s="25" t="str">
        <x:f>IF(H128="","Missing",IF(TRIM(H128)=TRIM(E128),"Review: same as English","Translated"))</x:f>
        <x:v>Missing</x:v>
      </x:c>
      <x:c r="J128" s="27" t="str">
        <x:v>Move this text into UI_TRANSLATIONS when implementing the completed pack.</x:v>
      </x:c>
    </x:row>
    <x:row r="129" ht="34" customHeight="1">
      <x:c r="A129" s="25" t="str">
        <x:v>QuizView.tsx</x:v>
      </x:c>
      <x:c r="B129" s="25" t="n">
        <x:v>784</x:v>
      </x:c>
      <x:c r="C129" s="25" t="str">
        <x:v>hardcoded.QuizView.784</x:v>
      </x:c>
      <x:c r="D129" s="25" t="str">
        <x:v>Visible JSX text</x:v>
      </x:c>
      <x:c r="E129" s="25" t="str">
        <x:v>Failed</x:v>
      </x:c>
      <x:c r="F129" s="27" t="str"/>
      <x:c r="G129" s="25" t="str">
        <x:f>IF(F129="","Missing",IF(TRIM(F129)=TRIM(E129),"Review: same as English","Translated"))</x:f>
        <x:v>Missing</x:v>
      </x:c>
      <x:c r="H129" s="27" t="str"/>
      <x:c r="I129" s="25" t="str">
        <x:f>IF(H129="","Missing",IF(TRIM(H129)=TRIM(E129),"Review: same as English","Translated"))</x:f>
        <x:v>Missing</x:v>
      </x:c>
      <x:c r="J129" s="27" t="str">
        <x:v>Move this text into UI_TRANSLATIONS when implementing the completed pack.</x:v>
      </x:c>
    </x:row>
    <x:row r="130" ht="34" customHeight="1">
      <x:c r="A130" s="25" t="str">
        <x:v>QuizView.tsx</x:v>
      </x:c>
      <x:c r="B130" s="25" t="n">
        <x:v>795</x:v>
      </x:c>
      <x:c r="C130" s="25" t="str">
        <x:v>hardcoded.QuizView.795</x:v>
      </x:c>
      <x:c r="D130" s="25" t="str">
        <x:v>Visible JSX text</x:v>
      </x:c>
      <x:c r="E130" s="25" t="str">
        <x:v>Question Map (30)</x:v>
      </x:c>
      <x:c r="F130" s="27" t="str"/>
      <x:c r="G130" s="25" t="str">
        <x:f>IF(F130="","Missing",IF(TRIM(F130)=TRIM(E130),"Review: same as English","Translated"))</x:f>
        <x:v>Missing</x:v>
      </x:c>
      <x:c r="H130" s="27" t="str"/>
      <x:c r="I130" s="25" t="str">
        <x:f>IF(H130="","Missing",IF(TRIM(H130)=TRIM(E130),"Review: same as English","Translated"))</x:f>
        <x:v>Missing</x:v>
      </x:c>
      <x:c r="J130" s="27" t="str">
        <x:v>Move this text into UI_TRANSLATIONS when implementing the completed pack.</x:v>
      </x:c>
    </x:row>
    <x:row r="131" ht="34" customHeight="1">
      <x:c r="A131" s="25" t="str">
        <x:v>QuizView.tsx</x:v>
      </x:c>
      <x:c r="B131" s="25" t="n">
        <x:v>846</x:v>
      </x:c>
      <x:c r="C131" s="25" t="str">
        <x:v>hardcoded.QuizView.846</x:v>
      </x:c>
      <x:c r="D131" s="25" t="str">
        <x:v>Visible JSX text</x:v>
      </x:c>
      <x:c r="E131" s="25" t="str">
        <x:v>Answered</x:v>
      </x:c>
      <x:c r="F131" s="27" t="str"/>
      <x:c r="G131" s="25" t="str">
        <x:f>IF(F131="","Missing",IF(TRIM(F131)=TRIM(E131),"Review: same as English","Translated"))</x:f>
        <x:v>Missing</x:v>
      </x:c>
      <x:c r="H131" s="27" t="str"/>
      <x:c r="I131" s="25" t="str">
        <x:f>IF(H131="","Missing",IF(TRIM(H131)=TRIM(E131),"Review: same as English","Translated"))</x:f>
        <x:v>Missing</x:v>
      </x:c>
      <x:c r="J131" s="27" t="str">
        <x:v>Move this text into UI_TRANSLATIONS when implementing the completed pack.</x:v>
      </x:c>
    </x:row>
    <x:row r="132" ht="34" customHeight="1">
      <x:c r="A132" s="25" t="str">
        <x:v>QuizView.tsx</x:v>
      </x:c>
      <x:c r="B132" s="25" t="n">
        <x:v>850</x:v>
      </x:c>
      <x:c r="C132" s="25" t="str">
        <x:v>hardcoded.QuizView.850</x:v>
      </x:c>
      <x:c r="D132" s="25" t="str">
        <x:v>Visible JSX text</x:v>
      </x:c>
      <x:c r="E132" s="25" t="str">
        <x:v>Current</x:v>
      </x:c>
      <x:c r="F132" s="27" t="str"/>
      <x:c r="G132" s="25" t="str">
        <x:f>IF(F132="","Missing",IF(TRIM(F132)=TRIM(E132),"Review: same as English","Translated"))</x:f>
        <x:v>Missing</x:v>
      </x:c>
      <x:c r="H132" s="27" t="str"/>
      <x:c r="I132" s="25" t="str">
        <x:f>IF(H132="","Missing",IF(TRIM(H132)=TRIM(E132),"Review: same as English","Translated"))</x:f>
        <x:v>Missing</x:v>
      </x:c>
      <x:c r="J132" s="27" t="str">
        <x:v>Move this text into UI_TRANSLATIONS when implementing the completed pack.</x:v>
      </x:c>
    </x:row>
    <x:row r="133" ht="34" customHeight="1">
      <x:c r="A133" s="25" t="str">
        <x:v>QuizView.tsx</x:v>
      </x:c>
      <x:c r="B133" s="25" t="n">
        <x:v>854</x:v>
      </x:c>
      <x:c r="C133" s="25" t="str">
        <x:v>hardcoded.QuizView.854</x:v>
      </x:c>
      <x:c r="D133" s="25" t="str">
        <x:v>Visible JSX text</x:v>
      </x:c>
      <x:c r="E133" s="25" t="str">
        <x:v>Correct</x:v>
      </x:c>
      <x:c r="F133" s="27" t="str"/>
      <x:c r="G133" s="25" t="str">
        <x:f>IF(F133="","Missing",IF(TRIM(F133)=TRIM(E133),"Review: same as English","Translated"))</x:f>
        <x:v>Missing</x:v>
      </x:c>
      <x:c r="H133" s="27" t="str"/>
      <x:c r="I133" s="25" t="str">
        <x:f>IF(H133="","Missing",IF(TRIM(H133)=TRIM(E133),"Review: same as English","Translated"))</x:f>
        <x:v>Missing</x:v>
      </x:c>
      <x:c r="J133" s="27" t="str">
        <x:v>Move this text into UI_TRANSLATIONS when implementing the completed pack.</x:v>
      </x:c>
    </x:row>
    <x:row r="134" ht="34" customHeight="1">
      <x:c r="A134" s="25" t="str">
        <x:v>QuizView.tsx</x:v>
      </x:c>
      <x:c r="B134" s="25" t="n">
        <x:v>858</x:v>
      </x:c>
      <x:c r="C134" s="25" t="str">
        <x:v>hardcoded.QuizView.858</x:v>
      </x:c>
      <x:c r="D134" s="25" t="str">
        <x:v>Visible JSX text</x:v>
      </x:c>
      <x:c r="E134" s="25" t="str">
        <x:v>Incorrect</x:v>
      </x:c>
      <x:c r="F134" s="27" t="str"/>
      <x:c r="G134" s="25" t="str">
        <x:f>IF(F134="","Missing",IF(TRIM(F134)=TRIM(E134),"Review: same as English","Translated"))</x:f>
        <x:v>Missing</x:v>
      </x:c>
      <x:c r="H134" s="27" t="str"/>
      <x:c r="I134" s="25" t="str">
        <x:f>IF(H134="","Missing",IF(TRIM(H134)=TRIM(E134),"Review: same as English","Translated"))</x:f>
        <x:v>Missing</x:v>
      </x:c>
      <x:c r="J134" s="27" t="str">
        <x:v>Move this text into UI_TRANSLATIONS when implementing the completed pack.</x:v>
      </x:c>
    </x:row>
  </x:sheetData>
  <x:mergeCells>
    <x:mergeCell ref="A1:J1"/>
    <x:mergeCell ref="A2:J2"/>
  </x:mergeCells>
  <x:conditionalFormatting sqref="G5:G134">
    <x:cfRule type="containsText" dxfId="18" priority="1" operator="containsText" text="Missing"/>
    <x:cfRule type="containsText" dxfId="19" priority="2" operator="containsText" text="Review"/>
    <x:cfRule type="containsText" dxfId="20" priority="3" operator="containsText" text="Translated"/>
  </x:conditionalFormatting>
  <x:conditionalFormatting sqref="I5:I134">
    <x:cfRule type="containsText" dxfId="21" priority="4" operator="containsText" text="Missing"/>
    <x:cfRule type="containsText" dxfId="22" priority="5" operator="containsText" text="Review"/>
    <x:cfRule type="containsText" dxfId="23" priority="6" operator="containsText" text="Translated"/>
  </x:conditionalFormatting>
  <x:pageMargins left="0.7" right="0.7" top="0.75" bottom="0.75" header="0.3" footer="0.3"/>
  <x:tableParts count="1">
    <x:tablePart xmlns:r="http://schemas.openxmlformats.org/officeDocument/2006/relationships" r:id="Rdd08e4b91f244c9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20" hidden="0" customWidth="1"/>
    <x:col min="4" max="4" width="20" hidden="0" customWidth="1"/>
    <x:col min="5" max="5" width="20" hidden="0" customWidth="1"/>
    <x:col min="6" max="6" width="20" hidden="0" customWidth="1"/>
    <x:col min="7" max="7" width="20" hidden="0" customWidth="1"/>
    <x:col min="8" max="8" width="14" hidden="0" customWidth="1"/>
  </x:cols>
  <x:sheetData>
    <x:row r="1" ht="32" customHeight="1">
      <x:c r="A1" s="29" t="str">
        <x:v>Red Point Onboarding Language Pack</x:v>
      </x:c>
      <x:c r="B1" s="29"/>
      <x:c r="C1" s="29"/>
      <x:c r="D1" s="29"/>
      <x:c r="E1" s="29"/>
      <x:c r="F1" s="29"/>
      <x:c r="G1" s="29"/>
      <x:c r="H1" s="29"/>
    </x:row>
    <x:row r="2" ht="36" customHeight="1">
      <x:c r="A2" s="31" t="str">
        <x:v>Translator-ready inventory generated from the current onboarding portal source. Fill yellow cells; completion status updates automatically.</x:v>
      </x:c>
      <x:c r="B2" s="31"/>
      <x:c r="C2" s="31"/>
      <x:c r="D2" s="31"/>
      <x:c r="E2" s="31"/>
      <x:c r="F2" s="31"/>
      <x:c r="G2" s="31"/>
      <x:c r="H2" s="31"/>
    </x:row>
    <x:row r="4">
      <x:c r="A4" s="9" t="str">
        <x:v>Section</x:v>
      </x:c>
      <x:c r="B4" s="9" t="str">
        <x:v>Source Rows</x:v>
      </x:c>
      <x:c r="C4" s="9" t="str">
        <x:v>Malay Translated</x:v>
      </x:c>
      <x:c r="D4" s="9" t="str">
        <x:v>Malay Needs Work</x:v>
      </x:c>
      <x:c r="E4" s="9" t="str">
        <x:v>Malay Completion</x:v>
      </x:c>
      <x:c r="F4" s="9" t="str">
        <x:v>Chinese Translated</x:v>
      </x:c>
      <x:c r="G4" s="9" t="str">
        <x:v>Chinese Needs Work</x:v>
      </x:c>
    </x:row>
    <x:row r="5">
      <x:c r="A5" s="32" t="str">
        <x:v>UI Text</x:v>
      </x:c>
      <x:c r="B5" s="34" t="n">
        <x:f>COUNTA('UI Text'!A5:A129)</x:f>
        <x:v>125</x:v>
      </x:c>
      <x:c r="C5" s="34" t="n">
        <x:f>COUNTIF('UI Text'!E5:E129,"Translated")</x:f>
        <x:v>121</x:v>
      </x:c>
      <x:c r="D5" s="34" t="n">
        <x:f>B5-C5</x:f>
        <x:v>4</x:v>
      </x:c>
      <x:c r="E5" s="36" t="n">
        <x:f>IF(B5=0,0,C5/B5)</x:f>
        <x:v>0.968</x:v>
      </x:c>
      <x:c r="F5" s="34" t="n">
        <x:f>COUNTIF('UI Text'!G5:G129,"Translated")</x:f>
        <x:v>123</x:v>
      </x:c>
      <x:c r="G5" s="34" t="n">
        <x:f>B5-F5</x:f>
        <x:v>2</x:v>
      </x:c>
    </x:row>
    <x:row r="6">
      <x:c r="A6" s="33" t="str">
        <x:v>Handbook</x:v>
      </x:c>
      <x:c r="B6" s="35" t="n">
        <x:f>COUNTA('Handbook'!A5:A389)</x:f>
        <x:v>385</x:v>
      </x:c>
      <x:c r="C6" s="35" t="n">
        <x:f>COUNTIF('Handbook'!F5:F389,"Translated")</x:f>
        <x:v>22</x:v>
      </x:c>
      <x:c r="D6" s="35" t="n">
        <x:f>B6-C6</x:f>
        <x:v>363</x:v>
      </x:c>
      <x:c r="E6" s="37" t="n">
        <x:f>IF(B6=0,0,C6/B6)</x:f>
        <x:v>0.05714285714285714</x:v>
      </x:c>
      <x:c r="F6" s="35" t="n">
        <x:f>COUNTIF('Handbook'!H5:H389,"Translated")</x:f>
        <x:v>22</x:v>
      </x:c>
      <x:c r="G6" s="35" t="n">
        <x:f>B6-F6</x:f>
        <x:v>363</x:v>
      </x:c>
    </x:row>
    <x:row r="7">
      <x:c r="A7" s="33" t="str">
        <x:v>Quiz</x:v>
      </x:c>
      <x:c r="B7" s="35" t="n">
        <x:f>COUNTA('Quiz'!A5:A243)</x:f>
        <x:v>239</x:v>
      </x:c>
      <x:c r="C7" s="35" t="n">
        <x:f>COUNTIF('Quiz'!F5:F243,"Translated")</x:f>
        <x:v>5</x:v>
      </x:c>
      <x:c r="D7" s="35" t="n">
        <x:f>B7-C7</x:f>
        <x:v>234</x:v>
      </x:c>
      <x:c r="E7" s="37" t="n">
        <x:f>IF(B7=0,0,C7/B7)</x:f>
        <x:v>0.02092050209205021</x:v>
      </x:c>
      <x:c r="F7" s="35" t="n">
        <x:f>COUNTIF('Quiz'!H5:H243,"Translated")</x:f>
        <x:v>5</x:v>
      </x:c>
      <x:c r="G7" s="35" t="n">
        <x:f>B7-F7</x:f>
        <x:v>234</x:v>
      </x:c>
    </x:row>
    <x:row r="8">
      <x:c r="A8" s="33" t="str">
        <x:v>Hardcoded UI</x:v>
      </x:c>
      <x:c r="B8" s="35" t="n">
        <x:f>COUNTA('Hardcoded UI'!A5:A134)</x:f>
        <x:v>130</x:v>
      </x:c>
      <x:c r="C8" s="35" t="n">
        <x:f>COUNTIF('Hardcoded UI'!G5:G134,"Translated")</x:f>
        <x:v>0</x:v>
      </x:c>
      <x:c r="D8" s="35" t="n">
        <x:f>B8-C8</x:f>
        <x:v>130</x:v>
      </x:c>
      <x:c r="E8" s="37" t="n">
        <x:f>IF(B8=0,0,C8/B8)</x:f>
        <x:v>0</x:v>
      </x:c>
      <x:c r="F8" s="35" t="n">
        <x:f>COUNTIF('Hardcoded UI'!I5:I134,"Translated")</x:f>
        <x:v>0</x:v>
      </x:c>
      <x:c r="G8" s="35" t="n">
        <x:f>B8-F8</x:f>
        <x:v>130</x:v>
      </x:c>
    </x:row>
    <x:row r="10">
      <x:c r="A10" s="39" t="str">
        <x:v>How to use this workbook</x:v>
      </x:c>
      <x:c r="B10" s="39"/>
      <x:c r="C10" s="39"/>
      <x:c r="D10" s="39"/>
      <x:c r="E10" s="39"/>
      <x:c r="F10" s="39"/>
      <x:c r="G10" s="39"/>
      <x:c r="H10" s="39"/>
    </x:row>
    <x:row r="11">
      <x:c r="A11" s="43" t="str">
        <x:v>1. Filter a language status column to Missing or Review: same as English.</x:v>
      </x:c>
      <x:c r="B11" s="43"/>
      <x:c r="C11" s="43"/>
      <x:c r="D11" s="43"/>
      <x:c r="E11" s="43"/>
      <x:c r="F11" s="43"/>
      <x:c r="G11" s="43"/>
      <x:c r="H11" s="43"/>
    </x:row>
    <x:row r="12">
      <x:c r="A12" s="43" t="str">
        <x:v>2. Enter translations only in yellow Malay and Chinese cells. Do not change keys or source text.</x:v>
      </x:c>
      <x:c r="B12" s="43"/>
      <x:c r="C12" s="43"/>
      <x:c r="D12" s="43"/>
      <x:c r="E12" s="43"/>
      <x:c r="F12" s="43"/>
      <x:c r="G12" s="43"/>
      <x:c r="H12" s="43"/>
    </x:row>
    <x:row r="13">
      <x:c r="A13" s="43" t="str">
        <x:v>3. Keep placeholders, company names, amounts, policy references, and legal meaning intact.</x:v>
      </x:c>
      <x:c r="B13" s="43"/>
      <x:c r="C13" s="43"/>
      <x:c r="D13" s="43"/>
      <x:c r="E13" s="43"/>
      <x:c r="F13" s="43"/>
      <x:c r="G13" s="43"/>
      <x:c r="H13" s="43"/>
    </x:row>
    <x:row r="14">
      <x:c r="A14" s="43" t="str">
        <x:v>4. Review short strings that legitimately remain identical, such as company names, and note approval in Translator Notes.</x:v>
      </x:c>
      <x:c r="B14" s="43"/>
      <x:c r="C14" s="43"/>
      <x:c r="D14" s="43"/>
      <x:c r="E14" s="43"/>
      <x:c r="F14" s="43"/>
      <x:c r="G14" s="43"/>
      <x:c r="H14" s="43"/>
    </x:row>
    <x:row r="15">
      <x:c r="A15" s="43" t="str">
        <x:v>5. The Hardcoded UI sheet also requires developer wiring into UI_TRANSLATIONS after translation.</x:v>
      </x:c>
      <x:c r="B15" s="43"/>
      <x:c r="C15" s="43"/>
      <x:c r="D15" s="43"/>
      <x:c r="E15" s="43"/>
      <x:c r="F15" s="43"/>
      <x:c r="G15" s="43"/>
      <x:c r="H15" s="43"/>
    </x:row>
    <x:row r="16">
      <x:c r="A16" s="43" t="str">
        <x:v>6. Return this workbook to development; it can be converted back into TypeScript language packs.</x:v>
      </x:c>
      <x:c r="B16" s="43"/>
      <x:c r="C16" s="43"/>
      <x:c r="D16" s="43"/>
      <x:c r="E16" s="43"/>
      <x:c r="F16" s="43"/>
      <x:c r="G16" s="43"/>
      <x:c r="H16" s="43"/>
    </x:row>
    <x:row r="18">
      <x:c r="A18" s="9" t="str">
        <x:v>Current Source Audit</x:v>
      </x:c>
      <x:c r="B18" s="9" t="str">
        <x:v>Finding</x:v>
      </x:c>
    </x:row>
    <x:row r="19">
      <x:c r="A19" s="32" t="str">
        <x:v>English handbook modules</x:v>
      </x:c>
      <x:c r="B19" s="32" t="n">
        <x:v>15</x:v>
      </x:c>
    </x:row>
    <x:row r="20">
      <x:c r="A20" s="33" t="str">
        <x:v>Malay handbook modules present</x:v>
      </x:c>
      <x:c r="B20" s="33" t="n">
        <x:v>4</x:v>
      </x:c>
    </x:row>
    <x:row r="21">
      <x:c r="A21" s="33" t="str">
        <x:v>Chinese handbook modules present</x:v>
      </x:c>
      <x:c r="B21" s="33" t="n">
        <x:v>4</x:v>
      </x:c>
    </x:row>
    <x:row r="22">
      <x:c r="A22" s="33" t="str">
        <x:v>Quiz questions</x:v>
      </x:c>
      <x:c r="B22" s="33" t="n">
        <x:v>30</x:v>
      </x:c>
    </x:row>
  </x:sheetData>
  <x:mergeCells>
    <x:mergeCell ref="A1:H1"/>
    <x:mergeCell ref="A2:H2"/>
    <x:mergeCell ref="A10:H10"/>
    <x:mergeCell ref="A11:H11"/>
    <x:mergeCell ref="A12:H12"/>
    <x:mergeCell ref="A13:H13"/>
    <x:mergeCell ref="A14:H14"/>
    <x:mergeCell ref="A15:H15"/>
    <x:mergeCell ref="A16:H16"/>
  </x:mergeCells>
  <x:pageMargins left="0.7" right="0.7" top="0.75" bottom="0.75" header="0.3" footer="0.3"/>
</x:worksheet>
</file>